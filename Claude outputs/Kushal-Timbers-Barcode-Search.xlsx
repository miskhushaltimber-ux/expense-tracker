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arch" sheetId="1" state="visible" r:id="rId3"/>
    <sheet name="Data" sheetId="2" state="visible" r:id="rId4"/>
    <sheet name="Read m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<sst xmlns="http://schemas.openxmlformats.org/spreadsheetml/2006/main" count="450" uniqueCount="180">
  <si>
    <t xml:space="preserve">Kushal Timbers — Barcode Search</t>
  </si>
  <si>
    <t xml:space="preserve">Type barcode here</t>
  </si>
  <si>
    <t xml:space="preserve">Part of a barcode works too — type 4729 to see every log containing 4729.</t>
  </si>
  <si>
    <t xml:space="preserve">Barcode</t>
  </si>
  <si>
    <t xml:space="preserve">Wood Type</t>
  </si>
  <si>
    <t xml:space="preserve">Size</t>
  </si>
  <si>
    <t xml:space="preserve">CFT</t>
  </si>
  <si>
    <t xml:space="preserve">Lot No.</t>
  </si>
  <si>
    <t xml:space="preserve">Date In</t>
  </si>
  <si>
    <t xml:space="preserve">Supplier</t>
  </si>
  <si>
    <t xml:space="preserve">Rate (Rs)</t>
  </si>
  <si>
    <t xml:space="preserve">Match no.</t>
  </si>
  <si>
    <t xml:space="preserve">&lt;-- DO NOT DELETE OR SORT THIS COLUMN. The Search tab needs it.</t>
  </si>
  <si>
    <t xml:space="preserve">84729103</t>
  </si>
  <si>
    <t xml:space="preserve">Sheesham</t>
  </si>
  <si>
    <t xml:space="preserve">16 ft x 22 in</t>
  </si>
  <si>
    <t xml:space="preserve">LOT-020</t>
  </si>
  <si>
    <t xml:space="preserve">Bharuch Traders</t>
  </si>
  <si>
    <t xml:space="preserve">14729556</t>
  </si>
  <si>
    <t xml:space="preserve">Teak</t>
  </si>
  <si>
    <t xml:space="preserve">10 ft x 14 in</t>
  </si>
  <si>
    <t xml:space="preserve">LOT-036</t>
  </si>
  <si>
    <t xml:space="preserve">47291880</t>
  </si>
  <si>
    <t xml:space="preserve">Pine</t>
  </si>
  <si>
    <t xml:space="preserve">LOT-031</t>
  </si>
  <si>
    <t xml:space="preserve">Kandla Port Lot</t>
  </si>
  <si>
    <t xml:space="preserve">90847293</t>
  </si>
  <si>
    <t xml:space="preserve">Babul</t>
  </si>
  <si>
    <t xml:space="preserve">LOT-010</t>
  </si>
  <si>
    <t xml:space="preserve">Rajkot Timber Co.</t>
  </si>
  <si>
    <t xml:space="preserve">13315929</t>
  </si>
  <si>
    <t xml:space="preserve">Eucalyptus</t>
  </si>
  <si>
    <t xml:space="preserve">LOT-040</t>
  </si>
  <si>
    <t xml:space="preserve">Gandhidham Depot</t>
  </si>
  <si>
    <t xml:space="preserve">91953710</t>
  </si>
  <si>
    <t xml:space="preserve">12 ft x 16 in</t>
  </si>
  <si>
    <t xml:space="preserve">LOT-027</t>
  </si>
  <si>
    <t xml:space="preserve">61401208</t>
  </si>
  <si>
    <t xml:space="preserve">76156052</t>
  </si>
  <si>
    <t xml:space="preserve">8 ft x 12 in</t>
  </si>
  <si>
    <t xml:space="preserve">LOT-018</t>
  </si>
  <si>
    <t xml:space="preserve">23218948</t>
  </si>
  <si>
    <t xml:space="preserve">12 ft x 18 in</t>
  </si>
  <si>
    <t xml:space="preserve">LOT-009</t>
  </si>
  <si>
    <t xml:space="preserve">Navsari Sawmill</t>
  </si>
  <si>
    <t xml:space="preserve">50418965</t>
  </si>
  <si>
    <t xml:space="preserve">LOT-011</t>
  </si>
  <si>
    <t xml:space="preserve">77151849</t>
  </si>
  <si>
    <t xml:space="preserve">Sal</t>
  </si>
  <si>
    <t xml:space="preserve">LOT-007</t>
  </si>
  <si>
    <t xml:space="preserve">70595804</t>
  </si>
  <si>
    <t xml:space="preserve">14 ft x 20 in</t>
  </si>
  <si>
    <t xml:space="preserve">LOT-032</t>
  </si>
  <si>
    <t xml:space="preserve">28943597</t>
  </si>
  <si>
    <t xml:space="preserve">Mango</t>
  </si>
  <si>
    <t xml:space="preserve">LOT-030</t>
  </si>
  <si>
    <t xml:space="preserve">61313689</t>
  </si>
  <si>
    <t xml:space="preserve">Neem</t>
  </si>
  <si>
    <t xml:space="preserve">LOT-024</t>
  </si>
  <si>
    <t xml:space="preserve">51305384</t>
  </si>
  <si>
    <t xml:space="preserve">LOT-017</t>
  </si>
  <si>
    <t xml:space="preserve">88607744</t>
  </si>
  <si>
    <t xml:space="preserve">LOT-037</t>
  </si>
  <si>
    <t xml:space="preserve">Valsad Forest Dept.</t>
  </si>
  <si>
    <t xml:space="preserve">93146733</t>
  </si>
  <si>
    <t xml:space="preserve">LOT-041</t>
  </si>
  <si>
    <t xml:space="preserve">48831206</t>
  </si>
  <si>
    <t xml:space="preserve">LOT-045</t>
  </si>
  <si>
    <t xml:space="preserve">90235774</t>
  </si>
  <si>
    <t xml:space="preserve">48368526</t>
  </si>
  <si>
    <t xml:space="preserve">81588493</t>
  </si>
  <si>
    <t xml:space="preserve">26601768</t>
  </si>
  <si>
    <t xml:space="preserve">57184843</t>
  </si>
  <si>
    <t xml:space="preserve">LOT-035</t>
  </si>
  <si>
    <t xml:space="preserve">14886564</t>
  </si>
  <si>
    <t xml:space="preserve">35202062</t>
  </si>
  <si>
    <t xml:space="preserve">69113935</t>
  </si>
  <si>
    <t xml:space="preserve">LOT-029</t>
  </si>
  <si>
    <t xml:space="preserve">82502925</t>
  </si>
  <si>
    <t xml:space="preserve">LOT-023</t>
  </si>
  <si>
    <t xml:space="preserve">41813592</t>
  </si>
  <si>
    <t xml:space="preserve">LOT-012</t>
  </si>
  <si>
    <t xml:space="preserve">41390818</t>
  </si>
  <si>
    <t xml:space="preserve">93323351</t>
  </si>
  <si>
    <t xml:space="preserve">LOT-026</t>
  </si>
  <si>
    <t xml:space="preserve">79913016</t>
  </si>
  <si>
    <t xml:space="preserve">77051593</t>
  </si>
  <si>
    <t xml:space="preserve">62364760</t>
  </si>
  <si>
    <t xml:space="preserve">LOT-021</t>
  </si>
  <si>
    <t xml:space="preserve">35437142</t>
  </si>
  <si>
    <t xml:space="preserve">LOT-044</t>
  </si>
  <si>
    <t xml:space="preserve">84934697</t>
  </si>
  <si>
    <t xml:space="preserve">LOT-006</t>
  </si>
  <si>
    <t xml:space="preserve">35526549</t>
  </si>
  <si>
    <t xml:space="preserve">82085969</t>
  </si>
  <si>
    <t xml:space="preserve">25150949</t>
  </si>
  <si>
    <t xml:space="preserve">LOT-014</t>
  </si>
  <si>
    <t xml:space="preserve">73332740</t>
  </si>
  <si>
    <t xml:space="preserve">LOT-034</t>
  </si>
  <si>
    <t xml:space="preserve">91971811</t>
  </si>
  <si>
    <t xml:space="preserve">34387000</t>
  </si>
  <si>
    <t xml:space="preserve">LOT-038</t>
  </si>
  <si>
    <t xml:space="preserve">60361357</t>
  </si>
  <si>
    <t xml:space="preserve">94515656</t>
  </si>
  <si>
    <t xml:space="preserve">36452418</t>
  </si>
  <si>
    <t xml:space="preserve">LOT-019</t>
  </si>
  <si>
    <t xml:space="preserve">62494653</t>
  </si>
  <si>
    <t xml:space="preserve">LOT-008</t>
  </si>
  <si>
    <t xml:space="preserve">81774962</t>
  </si>
  <si>
    <t xml:space="preserve">LOT-016</t>
  </si>
  <si>
    <t xml:space="preserve">51881854</t>
  </si>
  <si>
    <t xml:space="preserve">45654761</t>
  </si>
  <si>
    <t xml:space="preserve">LOT-042</t>
  </si>
  <si>
    <t xml:space="preserve">76359686</t>
  </si>
  <si>
    <t xml:space="preserve">94885845</t>
  </si>
  <si>
    <t xml:space="preserve">54291213</t>
  </si>
  <si>
    <t xml:space="preserve">16491767</t>
  </si>
  <si>
    <t xml:space="preserve">52269130</t>
  </si>
  <si>
    <t xml:space="preserve">37838715</t>
  </si>
  <si>
    <t xml:space="preserve">LOT-015</t>
  </si>
  <si>
    <t xml:space="preserve">45722466</t>
  </si>
  <si>
    <t xml:space="preserve">LOT-001</t>
  </si>
  <si>
    <t xml:space="preserve">63524632</t>
  </si>
  <si>
    <t xml:space="preserve">LOT-039</t>
  </si>
  <si>
    <t xml:space="preserve">65270230</t>
  </si>
  <si>
    <t xml:space="preserve">89039091</t>
  </si>
  <si>
    <t xml:space="preserve">78539096</t>
  </si>
  <si>
    <t xml:space="preserve">60540633</t>
  </si>
  <si>
    <t xml:space="preserve">39247900</t>
  </si>
  <si>
    <t xml:space="preserve">44812453</t>
  </si>
  <si>
    <t xml:space="preserve">53260288</t>
  </si>
  <si>
    <t xml:space="preserve">58905602</t>
  </si>
  <si>
    <t xml:space="preserve">52022464</t>
  </si>
  <si>
    <t xml:space="preserve">57226445</t>
  </si>
  <si>
    <t xml:space="preserve">50269457</t>
  </si>
  <si>
    <t xml:space="preserve">98853220</t>
  </si>
  <si>
    <t xml:space="preserve">98397699</t>
  </si>
  <si>
    <t xml:space="preserve">LOT-033</t>
  </si>
  <si>
    <t xml:space="preserve">45589208</t>
  </si>
  <si>
    <t xml:space="preserve">51844829</t>
  </si>
  <si>
    <t xml:space="preserve">LOT-025</t>
  </si>
  <si>
    <t xml:space="preserve">98363085</t>
  </si>
  <si>
    <t xml:space="preserve">35764936</t>
  </si>
  <si>
    <t xml:space="preserve">95933987</t>
  </si>
  <si>
    <t xml:space="preserve">24543402</t>
  </si>
  <si>
    <t xml:space="preserve">87210630</t>
  </si>
  <si>
    <t xml:space="preserve">LOT-004</t>
  </si>
  <si>
    <t xml:space="preserve">94145272</t>
  </si>
  <si>
    <t xml:space="preserve">95414885</t>
  </si>
  <si>
    <t xml:space="preserve">20415498</t>
  </si>
  <si>
    <t xml:space="preserve">46404990</t>
  </si>
  <si>
    <t xml:space="preserve">^ Paste your real log data above this line, starting in row 2.</t>
  </si>
  <si>
    <t xml:space="preserve">How this file works</t>
  </si>
  <si>
    <t xml:space="preserve">There are two tabs that matter, at the bottom of the window:</t>
  </si>
  <si>
    <t xml:space="preserve">    •  Data  — every log, one per row. This is the sheet the accountant keeps filling in.</t>
  </si>
  <si>
    <t xml:space="preserve">    •  Search — the yellow box. Type a barcode, matching logs appear underneath it.</t>
  </si>
  <si>
    <t xml:space="preserve">Nothing is ever typed on the Search tab except the yellow box. It reads the Data tab automatically.</t>
  </si>
  <si>
    <t xml:space="preserve">Putting your real data in</t>
  </si>
  <si>
    <t xml:space="preserve">1.  Open your existing barcode file and the Data tab of this file, side by side.</t>
  </si>
  <si>
    <t xml:space="preserve">2.  In your old file, select your data WITHOUT the header row, and copy it.</t>
  </si>
  <si>
    <t xml:space="preserve">3.  Click cell A2 on the Data tab here, then Paste Special &gt; Values only.</t>
  </si>
  <si>
    <t xml:space="preserve">4.  Delete the sample rows that are still left below your pasted data.</t>
  </si>
  <si>
    <t xml:space="preserve">5.  If your columns are in a different order, drag the headers in row 1 to match yours.</t>
  </si>
  <si>
    <t xml:space="preserve">Never delete, sort or drag column K on the Data tab. It is the machinery the search runs on. If it is gone, the Search tab shows nothing.</t>
  </si>
  <si>
    <t xml:space="preserve">Daily use</t>
  </si>
  <si>
    <t xml:space="preserve">1.  Click the Search tab.</t>
  </si>
  <si>
    <t xml:space="preserve">2.  Click the yellow box and type (or scan) the barcode.</t>
  </si>
  <si>
    <t xml:space="preserve">3.  Press Enter. Matching logs appear below within a second.</t>
  </si>
  <si>
    <t xml:space="preserve">4.  To search again, just type over the old number.</t>
  </si>
  <si>
    <t xml:space="preserve">Part of a number works too. Typing 4729 shows every log whose barcode contains 4729 anywhere in it — useful when a barcode label is torn and only some digits are readable.</t>
  </si>
  <si>
    <t xml:space="preserve">If nothing appears, the green line under the box says so in words. It is not broken; that barcode is genuinely not in the sheet.</t>
  </si>
  <si>
    <t xml:space="preserve">If a barcode you KNOW exists still is not found</t>
  </si>
  <si>
    <t xml:space="preserve">Almost always one of three things, and all three are fixed the same way:</t>
  </si>
  <si>
    <t xml:space="preserve">    •  The scanner added an invisible space at the end of the number.</t>
  </si>
  <si>
    <t xml:space="preserve">    •  Some barcodes are stored as text and some as numbers.</t>
  </si>
  <si>
    <t xml:space="preserve">    •  A leading zero was eaten, so 00847291 became 847291.</t>
  </si>
  <si>
    <t xml:space="preserve">Fix: select the whole barcode column on the Data tab, then Data &gt; Text to Columns &gt; Next &gt; Next &gt; choose Text &gt; Finish. That cleans every cell at once.</t>
  </si>
  <si>
    <t xml:space="preserve">Room to grow</t>
  </si>
  <si>
    <t xml:space="preserve">The search covers rows 2 to 5,001 on the Data tab, and shows up to 60 matching logs at a time. Both are plenty for now. If the log book ever passes 5,000 rows, this file needs its formulas extended — ask Rishi.</t>
  </si>
  <si>
    <t xml:space="preserve">Built for Kushal Timbers. Works in Excel 2007 and newer, in WPS Office, and in Google Sheets.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</si>
</sst>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;;&quot;&quot;"/>
    <numFmt numFmtId="166" formatCode="dd\-mm\-yyyy;;&quot;&quot;"/>
    <numFmt numFmtId="167" formatCode="#,##0;;&quot;&quot;"/>
    <numFmt numFmtId="168" formatCode="@"/>
    <numFmt numFmtId="169" formatCode="0.00"/>
    <numFmt numFmtId="170" formatCode="dd\-mm\-yyyy"/>
    <numFmt numFmtId="171" formatCode="#,##0"/>
    <numFmt numFmtId="172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5E20"/>
      <name val="Arial"/>
      <family val="0"/>
      <charset val="1"/>
    </font>
    <font>
      <b val="true"/>
      <sz val="11"/>
      <color rgb="FF1F2933"/>
      <name val="Arial"/>
      <family val="0"/>
      <charset val="1"/>
    </font>
    <font>
      <b val="true"/>
      <sz val="18"/>
      <color rgb="FF0000FF"/>
      <name val="Arial"/>
      <family val="0"/>
      <charset val="1"/>
    </font>
    <font>
      <i val="true"/>
      <sz val="9"/>
      <color rgb="FF6B7785"/>
      <name val="Arial"/>
      <family val="0"/>
      <charset val="1"/>
    </font>
    <font>
      <b val="true"/>
      <sz val="11"/>
      <color rgb="FF1B5E2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2933"/>
      <name val="Arial"/>
      <family val="0"/>
      <charset val="1"/>
    </font>
    <font>
      <sz val="10"/>
      <color rgb="FF1F293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B0392B"/>
      <name val="Arial"/>
      <family val="0"/>
      <charset val="1"/>
    </font>
    <font>
      <sz val="9"/>
      <color rgb="FFC9CED3"/>
      <name val="Arial"/>
      <family val="0"/>
      <charset val="1"/>
    </font>
    <font>
      <i val="true"/>
      <sz val="10"/>
      <color rgb="FFB0392B"/>
      <name val="Arial"/>
      <family val="0"/>
      <charset val="1"/>
    </font>
    <font>
      <b val="true"/>
      <sz val="13"/>
      <color rgb="FF1B5E20"/>
      <name val="Arial"/>
      <family val="0"/>
      <charset val="1"/>
    </font>
    <font>
      <sz val="11"/>
      <color rgb="FF1F2933"/>
      <name val="Arial"/>
      <family val="0"/>
      <charset val="1"/>
    </font>
    <font>
      <b val="true"/>
      <sz val="11"/>
      <color rgb="FFB0392B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3C4"/>
        <bgColor rgb="FFFDECEA"/>
      </patternFill>
    </fill>
    <fill>
      <patternFill patternType="solid">
        <fgColor rgb="FFE8F1E9"/>
        <bgColor rgb="FFF7F9FA"/>
      </patternFill>
    </fill>
    <fill>
      <patternFill patternType="solid">
        <fgColor rgb="FF1B5E20"/>
        <bgColor rgb="FF333300"/>
      </patternFill>
    </fill>
    <fill>
      <patternFill patternType="solid">
        <fgColor rgb="FFF7F9FA"/>
        <bgColor rgb="FFFFFFFF"/>
      </patternFill>
    </fill>
    <fill>
      <patternFill patternType="solid">
        <fgColor rgb="FFB0392B"/>
        <bgColor rgb="FF993366"/>
      </patternFill>
    </fill>
    <fill>
      <patternFill patternType="solid">
        <fgColor rgb="FFFDECEA"/>
        <bgColor rgb="FFF7F9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1B5E20"/>
      </left>
      <right style="medium">
        <color rgb="FF1B5E20"/>
      </right>
      <top style="medium">
        <color rgb="FF1B5E20"/>
      </top>
      <bottom style="medium">
        <color rgb="FF1B5E20"/>
      </bottom>
      <diagonal/>
    </border>
    <border diagonalUp="false" diagonalDown="false">
      <left style="thin">
        <color rgb="FFD3D9DE"/>
      </left>
      <right style="thin">
        <color rgb="FFD3D9DE"/>
      </right>
      <top style="thin">
        <color rgb="FFD3D9DE"/>
      </top>
      <bottom style="thin">
        <color rgb="FFD3D9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9CED3"/>
      <rgbColor rgb="FF6B7785"/>
      <rgbColor rgb="FF9999FF"/>
      <rgbColor rgb="FF993366"/>
      <rgbColor rgb="FFFFF3C4"/>
      <rgbColor rgb="FFE8F1E9"/>
      <rgbColor rgb="FF660066"/>
      <rgbColor rgb="FFFF8080"/>
      <rgbColor rgb="FF0066CC"/>
      <rgbColor rgb="FFD3D9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A"/>
      <rgbColor rgb="FFCCFFCC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0392B"/>
      <rgbColor rgb="FF993366"/>
      <rgbColor rgb="FF333399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12"/>
  </cols>
  <sheetData>
    <row r="1" customFormat="false" ht="19.7" hidden="false" customHeight="fals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/>
      <c r="D3" s="4" t="s">
        <v>2</v>
      </c>
    </row>
    <row r="5" customFormat="false" ht="15" hidden="false" customHeight="false" outlineLevel="0" collapsed="false">
      <c r="A5" s="5" t="str">
        <f aca="false">IF($B$3="","Type a barcode in the yellow box above.",IF(MAX(Data!$K$2:$K$5001)=0,"No log found with that barcode.",MAX(Data!$K$2:$K$5001)&amp;" log(s) found:"))</f>
        <v>Type a barcode in the yellow box above.</v>
      </c>
    </row>
    <row r="7" customFormat="false" ht="19.5" hidden="false" customHeight="true" outlineLevel="0" collapsed="false">
      <c r="A7" s="6" t="s">
        <v>3</v>
      </c>
      <c r="B7" s="6" t="s">
        <v>4</v>
      </c>
      <c r="C7" s="6" t="s">
        <v>5</v>
      </c>
      <c r="D7" s="6" t="s">
        <v>6</v>
      </c>
      <c r="E7" s="6" t="s">
        <v>7</v>
      </c>
      <c r="F7" s="6" t="s">
        <v>8</v>
      </c>
      <c r="G7" s="6" t="s">
        <v>9</v>
      </c>
      <c r="H7" s="6" t="s">
        <v>10</v>
      </c>
    </row>
    <row r="8" customFormat="false" ht="15" hidden="false" customHeight="false" outlineLevel="0" collapsed="false">
      <c r="A8" s="7" t="str">
        <f aca="false">IFERROR(INDEX(Data!A$2:A$5001,MATCH(1,Data!$K$2:$K$5001,0)),"")</f>
        <v/>
      </c>
      <c r="B8" s="8" t="str">
        <f aca="false">IFERROR(INDEX(Data!B$2:B$5001,MATCH(1,Data!$K$2:$K$5001,0)),"")</f>
        <v/>
      </c>
      <c r="C8" s="8" t="str">
        <f aca="false">IFERROR(INDEX(Data!C$2:C$5001,MATCH(1,Data!$K$2:$K$5001,0)),"")</f>
        <v/>
      </c>
      <c r="D8" s="9" t="str">
        <f aca="false">IFERROR(INDEX(Data!D$2:D$5001,MATCH(1,Data!$K$2:$K$5001,0)),"")</f>
        <v/>
      </c>
      <c r="E8" s="8" t="str">
        <f aca="false">IFERROR(INDEX(Data!E$2:E$5001,MATCH(1,Data!$K$2:$K$5001,0)),"")</f>
        <v/>
      </c>
      <c r="F8" s="10" t="str">
        <f aca="false">IFERROR(INDEX(Data!F$2:F$5001,MATCH(1,Data!$K$2:$K$5001,0)),"")</f>
        <v/>
      </c>
      <c r="G8" s="8" t="str">
        <f aca="false">IFERROR(INDEX(Data!G$2:G$5001,MATCH(1,Data!$K$2:$K$5001,0)),"")</f>
        <v/>
      </c>
      <c r="H8" s="11" t="str">
        <f aca="false">IFERROR(INDEX(Data!H$2:H$5001,MATCH(1,Data!$K$2:$K$5001,0)),"")</f>
        <v/>
      </c>
    </row>
    <row r="9" customFormat="false" ht="15" hidden="false" customHeight="false" outlineLevel="0" collapsed="false">
      <c r="A9" s="12" t="str">
        <f aca="false">IFERROR(INDEX(Data!A$2:A$5001,MATCH(2,Data!$K$2:$K$5001,0)),"")</f>
        <v/>
      </c>
      <c r="B9" s="13" t="str">
        <f aca="false">IFERROR(INDEX(Data!B$2:B$5001,MATCH(2,Data!$K$2:$K$5001,0)),"")</f>
        <v/>
      </c>
      <c r="C9" s="13" t="str">
        <f aca="false">IFERROR(INDEX(Data!C$2:C$5001,MATCH(2,Data!$K$2:$K$5001,0)),"")</f>
        <v/>
      </c>
      <c r="D9" s="14" t="str">
        <f aca="false">IFERROR(INDEX(Data!D$2:D$5001,MATCH(2,Data!$K$2:$K$5001,0)),"")</f>
        <v/>
      </c>
      <c r="E9" s="13" t="str">
        <f aca="false">IFERROR(INDEX(Data!E$2:E$5001,MATCH(2,Data!$K$2:$K$5001,0)),"")</f>
        <v/>
      </c>
      <c r="F9" s="15" t="str">
        <f aca="false">IFERROR(INDEX(Data!F$2:F$5001,MATCH(2,Data!$K$2:$K$5001,0)),"")</f>
        <v/>
      </c>
      <c r="G9" s="13" t="str">
        <f aca="false">IFERROR(INDEX(Data!G$2:G$5001,MATCH(2,Data!$K$2:$K$5001,0)),"")</f>
        <v/>
      </c>
      <c r="H9" s="16" t="str">
        <f aca="false">IFERROR(INDEX(Data!H$2:H$5001,MATCH(2,Data!$K$2:$K$5001,0)),"")</f>
        <v/>
      </c>
    </row>
    <row r="10" customFormat="false" ht="15" hidden="false" customHeight="false" outlineLevel="0" collapsed="false">
      <c r="A10" s="7" t="str">
        <f aca="false">IFERROR(INDEX(Data!A$2:A$5001,MATCH(3,Data!$K$2:$K$5001,0)),"")</f>
        <v/>
      </c>
      <c r="B10" s="8" t="str">
        <f aca="false">IFERROR(INDEX(Data!B$2:B$5001,MATCH(3,Data!$K$2:$K$5001,0)),"")</f>
        <v/>
      </c>
      <c r="C10" s="8" t="str">
        <f aca="false">IFERROR(INDEX(Data!C$2:C$5001,MATCH(3,Data!$K$2:$K$5001,0)),"")</f>
        <v/>
      </c>
      <c r="D10" s="9" t="str">
        <f aca="false">IFERROR(INDEX(Data!D$2:D$5001,MATCH(3,Data!$K$2:$K$5001,0)),"")</f>
        <v/>
      </c>
      <c r="E10" s="8" t="str">
        <f aca="false">IFERROR(INDEX(Data!E$2:E$5001,MATCH(3,Data!$K$2:$K$5001,0)),"")</f>
        <v/>
      </c>
      <c r="F10" s="10" t="str">
        <f aca="false">IFERROR(INDEX(Data!F$2:F$5001,MATCH(3,Data!$K$2:$K$5001,0)),"")</f>
        <v/>
      </c>
      <c r="G10" s="8" t="str">
        <f aca="false">IFERROR(INDEX(Data!G$2:G$5001,MATCH(3,Data!$K$2:$K$5001,0)),"")</f>
        <v/>
      </c>
      <c r="H10" s="11" t="str">
        <f aca="false">IFERROR(INDEX(Data!H$2:H$5001,MATCH(3,Data!$K$2:$K$5001,0)),"")</f>
        <v/>
      </c>
    </row>
    <row r="11" customFormat="false" ht="15" hidden="false" customHeight="false" outlineLevel="0" collapsed="false">
      <c r="A11" s="12" t="str">
        <f aca="false">IFERROR(INDEX(Data!A$2:A$5001,MATCH(4,Data!$K$2:$K$5001,0)),"")</f>
        <v/>
      </c>
      <c r="B11" s="13" t="str">
        <f aca="false">IFERROR(INDEX(Data!B$2:B$5001,MATCH(4,Data!$K$2:$K$5001,0)),"")</f>
        <v/>
      </c>
      <c r="C11" s="13" t="str">
        <f aca="false">IFERROR(INDEX(Data!C$2:C$5001,MATCH(4,Data!$K$2:$K$5001,0)),"")</f>
        <v/>
      </c>
      <c r="D11" s="14" t="str">
        <f aca="false">IFERROR(INDEX(Data!D$2:D$5001,MATCH(4,Data!$K$2:$K$5001,0)),"")</f>
        <v/>
      </c>
      <c r="E11" s="13" t="str">
        <f aca="false">IFERROR(INDEX(Data!E$2:E$5001,MATCH(4,Data!$K$2:$K$5001,0)),"")</f>
        <v/>
      </c>
      <c r="F11" s="15" t="str">
        <f aca="false">IFERROR(INDEX(Data!F$2:F$5001,MATCH(4,Data!$K$2:$K$5001,0)),"")</f>
        <v/>
      </c>
      <c r="G11" s="13" t="str">
        <f aca="false">IFERROR(INDEX(Data!G$2:G$5001,MATCH(4,Data!$K$2:$K$5001,0)),"")</f>
        <v/>
      </c>
      <c r="H11" s="16" t="str">
        <f aca="false">IFERROR(INDEX(Data!H$2:H$5001,MATCH(4,Data!$K$2:$K$5001,0)),"")</f>
        <v/>
      </c>
    </row>
    <row r="12" customFormat="false" ht="15" hidden="false" customHeight="false" outlineLevel="0" collapsed="false">
      <c r="A12" s="7" t="str">
        <f aca="false">IFERROR(INDEX(Data!A$2:A$5001,MATCH(5,Data!$K$2:$K$5001,0)),"")</f>
        <v/>
      </c>
      <c r="B12" s="8" t="str">
        <f aca="false">IFERROR(INDEX(Data!B$2:B$5001,MATCH(5,Data!$K$2:$K$5001,0)),"")</f>
        <v/>
      </c>
      <c r="C12" s="8" t="str">
        <f aca="false">IFERROR(INDEX(Data!C$2:C$5001,MATCH(5,Data!$K$2:$K$5001,0)),"")</f>
        <v/>
      </c>
      <c r="D12" s="9" t="str">
        <f aca="false">IFERROR(INDEX(Data!D$2:D$5001,MATCH(5,Data!$K$2:$K$5001,0)),"")</f>
        <v/>
      </c>
      <c r="E12" s="8" t="str">
        <f aca="false">IFERROR(INDEX(Data!E$2:E$5001,MATCH(5,Data!$K$2:$K$5001,0)),"")</f>
        <v/>
      </c>
      <c r="F12" s="10" t="str">
        <f aca="false">IFERROR(INDEX(Data!F$2:F$5001,MATCH(5,Data!$K$2:$K$5001,0)),"")</f>
        <v/>
      </c>
      <c r="G12" s="8" t="str">
        <f aca="false">IFERROR(INDEX(Data!G$2:G$5001,MATCH(5,Data!$K$2:$K$5001,0)),"")</f>
        <v/>
      </c>
      <c r="H12" s="11" t="str">
        <f aca="false">IFERROR(INDEX(Data!H$2:H$5001,MATCH(5,Data!$K$2:$K$5001,0)),"")</f>
        <v/>
      </c>
    </row>
    <row r="13" customFormat="false" ht="15" hidden="false" customHeight="false" outlineLevel="0" collapsed="false">
      <c r="A13" s="12" t="str">
        <f aca="false">IFERROR(INDEX(Data!A$2:A$5001,MATCH(6,Data!$K$2:$K$5001,0)),"")</f>
        <v/>
      </c>
      <c r="B13" s="13" t="str">
        <f aca="false">IFERROR(INDEX(Data!B$2:B$5001,MATCH(6,Data!$K$2:$K$5001,0)),"")</f>
        <v/>
      </c>
      <c r="C13" s="13" t="str">
        <f aca="false">IFERROR(INDEX(Data!C$2:C$5001,MATCH(6,Data!$K$2:$K$5001,0)),"")</f>
        <v/>
      </c>
      <c r="D13" s="14" t="str">
        <f aca="false">IFERROR(INDEX(Data!D$2:D$5001,MATCH(6,Data!$K$2:$K$5001,0)),"")</f>
        <v/>
      </c>
      <c r="E13" s="13" t="str">
        <f aca="false">IFERROR(INDEX(Data!E$2:E$5001,MATCH(6,Data!$K$2:$K$5001,0)),"")</f>
        <v/>
      </c>
      <c r="F13" s="15" t="str">
        <f aca="false">IFERROR(INDEX(Data!F$2:F$5001,MATCH(6,Data!$K$2:$K$5001,0)),"")</f>
        <v/>
      </c>
      <c r="G13" s="13" t="str">
        <f aca="false">IFERROR(INDEX(Data!G$2:G$5001,MATCH(6,Data!$K$2:$K$5001,0)),"")</f>
        <v/>
      </c>
      <c r="H13" s="16" t="str">
        <f aca="false">IFERROR(INDEX(Data!H$2:H$5001,MATCH(6,Data!$K$2:$K$5001,0)),"")</f>
        <v/>
      </c>
    </row>
    <row r="14" customFormat="false" ht="15" hidden="false" customHeight="false" outlineLevel="0" collapsed="false">
      <c r="A14" s="7" t="str">
        <f aca="false">IFERROR(INDEX(Data!A$2:A$5001,MATCH(7,Data!$K$2:$K$5001,0)),"")</f>
        <v/>
      </c>
      <c r="B14" s="8" t="str">
        <f aca="false">IFERROR(INDEX(Data!B$2:B$5001,MATCH(7,Data!$K$2:$K$5001,0)),"")</f>
        <v/>
      </c>
      <c r="C14" s="8" t="str">
        <f aca="false">IFERROR(INDEX(Data!C$2:C$5001,MATCH(7,Data!$K$2:$K$5001,0)),"")</f>
        <v/>
      </c>
      <c r="D14" s="9" t="str">
        <f aca="false">IFERROR(INDEX(Data!D$2:D$5001,MATCH(7,Data!$K$2:$K$5001,0)),"")</f>
        <v/>
      </c>
      <c r="E14" s="8" t="str">
        <f aca="false">IFERROR(INDEX(Data!E$2:E$5001,MATCH(7,Data!$K$2:$K$5001,0)),"")</f>
        <v/>
      </c>
      <c r="F14" s="10" t="str">
        <f aca="false">IFERROR(INDEX(Data!F$2:F$5001,MATCH(7,Data!$K$2:$K$5001,0)),"")</f>
        <v/>
      </c>
      <c r="G14" s="8" t="str">
        <f aca="false">IFERROR(INDEX(Data!G$2:G$5001,MATCH(7,Data!$K$2:$K$5001,0)),"")</f>
        <v/>
      </c>
      <c r="H14" s="11" t="str">
        <f aca="false">IFERROR(INDEX(Data!H$2:H$5001,MATCH(7,Data!$K$2:$K$5001,0)),"")</f>
        <v/>
      </c>
    </row>
    <row r="15" customFormat="false" ht="15" hidden="false" customHeight="false" outlineLevel="0" collapsed="false">
      <c r="A15" s="12" t="str">
        <f aca="false">IFERROR(INDEX(Data!A$2:A$5001,MATCH(8,Data!$K$2:$K$5001,0)),"")</f>
        <v/>
      </c>
      <c r="B15" s="13" t="str">
        <f aca="false">IFERROR(INDEX(Data!B$2:B$5001,MATCH(8,Data!$K$2:$K$5001,0)),"")</f>
        <v/>
      </c>
      <c r="C15" s="13" t="str">
        <f aca="false">IFERROR(INDEX(Data!C$2:C$5001,MATCH(8,Data!$K$2:$K$5001,0)),"")</f>
        <v/>
      </c>
      <c r="D15" s="14" t="str">
        <f aca="false">IFERROR(INDEX(Data!D$2:D$5001,MATCH(8,Data!$K$2:$K$5001,0)),"")</f>
        <v/>
      </c>
      <c r="E15" s="13" t="str">
        <f aca="false">IFERROR(INDEX(Data!E$2:E$5001,MATCH(8,Data!$K$2:$K$5001,0)),"")</f>
        <v/>
      </c>
      <c r="F15" s="15" t="str">
        <f aca="false">IFERROR(INDEX(Data!F$2:F$5001,MATCH(8,Data!$K$2:$K$5001,0)),"")</f>
        <v/>
      </c>
      <c r="G15" s="13" t="str">
        <f aca="false">IFERROR(INDEX(Data!G$2:G$5001,MATCH(8,Data!$K$2:$K$5001,0)),"")</f>
        <v/>
      </c>
      <c r="H15" s="16" t="str">
        <f aca="false">IFERROR(INDEX(Data!H$2:H$5001,MATCH(8,Data!$K$2:$K$5001,0)),"")</f>
        <v/>
      </c>
    </row>
    <row r="16" customFormat="false" ht="15" hidden="false" customHeight="false" outlineLevel="0" collapsed="false">
      <c r="A16" s="7" t="str">
        <f aca="false">IFERROR(INDEX(Data!A$2:A$5001,MATCH(9,Data!$K$2:$K$5001,0)),"")</f>
        <v/>
      </c>
      <c r="B16" s="8" t="str">
        <f aca="false">IFERROR(INDEX(Data!B$2:B$5001,MATCH(9,Data!$K$2:$K$5001,0)),"")</f>
        <v/>
      </c>
      <c r="C16" s="8" t="str">
        <f aca="false">IFERROR(INDEX(Data!C$2:C$5001,MATCH(9,Data!$K$2:$K$5001,0)),"")</f>
        <v/>
      </c>
      <c r="D16" s="9" t="str">
        <f aca="false">IFERROR(INDEX(Data!D$2:D$5001,MATCH(9,Data!$K$2:$K$5001,0)),"")</f>
        <v/>
      </c>
      <c r="E16" s="8" t="str">
        <f aca="false">IFERROR(INDEX(Data!E$2:E$5001,MATCH(9,Data!$K$2:$K$5001,0)),"")</f>
        <v/>
      </c>
      <c r="F16" s="10" t="str">
        <f aca="false">IFERROR(INDEX(Data!F$2:F$5001,MATCH(9,Data!$K$2:$K$5001,0)),"")</f>
        <v/>
      </c>
      <c r="G16" s="8" t="str">
        <f aca="false">IFERROR(INDEX(Data!G$2:G$5001,MATCH(9,Data!$K$2:$K$5001,0)),"")</f>
        <v/>
      </c>
      <c r="H16" s="11" t="str">
        <f aca="false">IFERROR(INDEX(Data!H$2:H$5001,MATCH(9,Data!$K$2:$K$5001,0)),"")</f>
        <v/>
      </c>
    </row>
    <row r="17" customFormat="false" ht="15" hidden="false" customHeight="false" outlineLevel="0" collapsed="false">
      <c r="A17" s="12" t="str">
        <f aca="false">IFERROR(INDEX(Data!A$2:A$5001,MATCH(10,Data!$K$2:$K$5001,0)),"")</f>
        <v/>
      </c>
      <c r="B17" s="13" t="str">
        <f aca="false">IFERROR(INDEX(Data!B$2:B$5001,MATCH(10,Data!$K$2:$K$5001,0)),"")</f>
        <v/>
      </c>
      <c r="C17" s="13" t="str">
        <f aca="false">IFERROR(INDEX(Data!C$2:C$5001,MATCH(10,Data!$K$2:$K$5001,0)),"")</f>
        <v/>
      </c>
      <c r="D17" s="14" t="str">
        <f aca="false">IFERROR(INDEX(Data!D$2:D$5001,MATCH(10,Data!$K$2:$K$5001,0)),"")</f>
        <v/>
      </c>
      <c r="E17" s="13" t="str">
        <f aca="false">IFERROR(INDEX(Data!E$2:E$5001,MATCH(10,Data!$K$2:$K$5001,0)),"")</f>
        <v/>
      </c>
      <c r="F17" s="15" t="str">
        <f aca="false">IFERROR(INDEX(Data!F$2:F$5001,MATCH(10,Data!$K$2:$K$5001,0)),"")</f>
        <v/>
      </c>
      <c r="G17" s="13" t="str">
        <f aca="false">IFERROR(INDEX(Data!G$2:G$5001,MATCH(10,Data!$K$2:$K$5001,0)),"")</f>
        <v/>
      </c>
      <c r="H17" s="16" t="str">
        <f aca="false">IFERROR(INDEX(Data!H$2:H$5001,MATCH(10,Data!$K$2:$K$5001,0)),"")</f>
        <v/>
      </c>
    </row>
    <row r="18" customFormat="false" ht="15" hidden="false" customHeight="false" outlineLevel="0" collapsed="false">
      <c r="A18" s="7" t="str">
        <f aca="false">IFERROR(INDEX(Data!A$2:A$5001,MATCH(11,Data!$K$2:$K$5001,0)),"")</f>
        <v/>
      </c>
      <c r="B18" s="8" t="str">
        <f aca="false">IFERROR(INDEX(Data!B$2:B$5001,MATCH(11,Data!$K$2:$K$5001,0)),"")</f>
        <v/>
      </c>
      <c r="C18" s="8" t="str">
        <f aca="false">IFERROR(INDEX(Data!C$2:C$5001,MATCH(11,Data!$K$2:$K$5001,0)),"")</f>
        <v/>
      </c>
      <c r="D18" s="9" t="str">
        <f aca="false">IFERROR(INDEX(Data!D$2:D$5001,MATCH(11,Data!$K$2:$K$5001,0)),"")</f>
        <v/>
      </c>
      <c r="E18" s="8" t="str">
        <f aca="false">IFERROR(INDEX(Data!E$2:E$5001,MATCH(11,Data!$K$2:$K$5001,0)),"")</f>
        <v/>
      </c>
      <c r="F18" s="10" t="str">
        <f aca="false">IFERROR(INDEX(Data!F$2:F$5001,MATCH(11,Data!$K$2:$K$5001,0)),"")</f>
        <v/>
      </c>
      <c r="G18" s="8" t="str">
        <f aca="false">IFERROR(INDEX(Data!G$2:G$5001,MATCH(11,Data!$K$2:$K$5001,0)),"")</f>
        <v/>
      </c>
      <c r="H18" s="11" t="str">
        <f aca="false">IFERROR(INDEX(Data!H$2:H$5001,MATCH(11,Data!$K$2:$K$5001,0)),"")</f>
        <v/>
      </c>
    </row>
    <row r="19" customFormat="false" ht="15" hidden="false" customHeight="false" outlineLevel="0" collapsed="false">
      <c r="A19" s="12" t="str">
        <f aca="false">IFERROR(INDEX(Data!A$2:A$5001,MATCH(12,Data!$K$2:$K$5001,0)),"")</f>
        <v/>
      </c>
      <c r="B19" s="13" t="str">
        <f aca="false">IFERROR(INDEX(Data!B$2:B$5001,MATCH(12,Data!$K$2:$K$5001,0)),"")</f>
        <v/>
      </c>
      <c r="C19" s="13" t="str">
        <f aca="false">IFERROR(INDEX(Data!C$2:C$5001,MATCH(12,Data!$K$2:$K$5001,0)),"")</f>
        <v/>
      </c>
      <c r="D19" s="14" t="str">
        <f aca="false">IFERROR(INDEX(Data!D$2:D$5001,MATCH(12,Data!$K$2:$K$5001,0)),"")</f>
        <v/>
      </c>
      <c r="E19" s="13" t="str">
        <f aca="false">IFERROR(INDEX(Data!E$2:E$5001,MATCH(12,Data!$K$2:$K$5001,0)),"")</f>
        <v/>
      </c>
      <c r="F19" s="15" t="str">
        <f aca="false">IFERROR(INDEX(Data!F$2:F$5001,MATCH(12,Data!$K$2:$K$5001,0)),"")</f>
        <v/>
      </c>
      <c r="G19" s="13" t="str">
        <f aca="false">IFERROR(INDEX(Data!G$2:G$5001,MATCH(12,Data!$K$2:$K$5001,0)),"")</f>
        <v/>
      </c>
      <c r="H19" s="16" t="str">
        <f aca="false">IFERROR(INDEX(Data!H$2:H$5001,MATCH(12,Data!$K$2:$K$5001,0)),"")</f>
        <v/>
      </c>
    </row>
    <row r="20" customFormat="false" ht="15" hidden="false" customHeight="false" outlineLevel="0" collapsed="false">
      <c r="A20" s="7" t="str">
        <f aca="false">IFERROR(INDEX(Data!A$2:A$5001,MATCH(13,Data!$K$2:$K$5001,0)),"")</f>
        <v/>
      </c>
      <c r="B20" s="8" t="str">
        <f aca="false">IFERROR(INDEX(Data!B$2:B$5001,MATCH(13,Data!$K$2:$K$5001,0)),"")</f>
        <v/>
      </c>
      <c r="C20" s="8" t="str">
        <f aca="false">IFERROR(INDEX(Data!C$2:C$5001,MATCH(13,Data!$K$2:$K$5001,0)),"")</f>
        <v/>
      </c>
      <c r="D20" s="9" t="str">
        <f aca="false">IFERROR(INDEX(Data!D$2:D$5001,MATCH(13,Data!$K$2:$K$5001,0)),"")</f>
        <v/>
      </c>
      <c r="E20" s="8" t="str">
        <f aca="false">IFERROR(INDEX(Data!E$2:E$5001,MATCH(13,Data!$K$2:$K$5001,0)),"")</f>
        <v/>
      </c>
      <c r="F20" s="10" t="str">
        <f aca="false">IFERROR(INDEX(Data!F$2:F$5001,MATCH(13,Data!$K$2:$K$5001,0)),"")</f>
        <v/>
      </c>
      <c r="G20" s="8" t="str">
        <f aca="false">IFERROR(INDEX(Data!G$2:G$5001,MATCH(13,Data!$K$2:$K$5001,0)),"")</f>
        <v/>
      </c>
      <c r="H20" s="11" t="str">
        <f aca="false">IFERROR(INDEX(Data!H$2:H$5001,MATCH(13,Data!$K$2:$K$5001,0)),"")</f>
        <v/>
      </c>
    </row>
    <row r="21" customFormat="false" ht="15" hidden="false" customHeight="false" outlineLevel="0" collapsed="false">
      <c r="A21" s="12" t="str">
        <f aca="false">IFERROR(INDEX(Data!A$2:A$5001,MATCH(14,Data!$K$2:$K$5001,0)),"")</f>
        <v/>
      </c>
      <c r="B21" s="13" t="str">
        <f aca="false">IFERROR(INDEX(Data!B$2:B$5001,MATCH(14,Data!$K$2:$K$5001,0)),"")</f>
        <v/>
      </c>
      <c r="C21" s="13" t="str">
        <f aca="false">IFERROR(INDEX(Data!C$2:C$5001,MATCH(14,Data!$K$2:$K$5001,0)),"")</f>
        <v/>
      </c>
      <c r="D21" s="14" t="str">
        <f aca="false">IFERROR(INDEX(Data!D$2:D$5001,MATCH(14,Data!$K$2:$K$5001,0)),"")</f>
        <v/>
      </c>
      <c r="E21" s="13" t="str">
        <f aca="false">IFERROR(INDEX(Data!E$2:E$5001,MATCH(14,Data!$K$2:$K$5001,0)),"")</f>
        <v/>
      </c>
      <c r="F21" s="15" t="str">
        <f aca="false">IFERROR(INDEX(Data!F$2:F$5001,MATCH(14,Data!$K$2:$K$5001,0)),"")</f>
        <v/>
      </c>
      <c r="G21" s="13" t="str">
        <f aca="false">IFERROR(INDEX(Data!G$2:G$5001,MATCH(14,Data!$K$2:$K$5001,0)),"")</f>
        <v/>
      </c>
      <c r="H21" s="16" t="str">
        <f aca="false">IFERROR(INDEX(Data!H$2:H$5001,MATCH(14,Data!$K$2:$K$5001,0)),"")</f>
        <v/>
      </c>
    </row>
    <row r="22" customFormat="false" ht="15" hidden="false" customHeight="false" outlineLevel="0" collapsed="false">
      <c r="A22" s="7" t="str">
        <f aca="false">IFERROR(INDEX(Data!A$2:A$5001,MATCH(15,Data!$K$2:$K$5001,0)),"")</f>
        <v/>
      </c>
      <c r="B22" s="8" t="str">
        <f aca="false">IFERROR(INDEX(Data!B$2:B$5001,MATCH(15,Data!$K$2:$K$5001,0)),"")</f>
        <v/>
      </c>
      <c r="C22" s="8" t="str">
        <f aca="false">IFERROR(INDEX(Data!C$2:C$5001,MATCH(15,Data!$K$2:$K$5001,0)),"")</f>
        <v/>
      </c>
      <c r="D22" s="9" t="str">
        <f aca="false">IFERROR(INDEX(Data!D$2:D$5001,MATCH(15,Data!$K$2:$K$5001,0)),"")</f>
        <v/>
      </c>
      <c r="E22" s="8" t="str">
        <f aca="false">IFERROR(INDEX(Data!E$2:E$5001,MATCH(15,Data!$K$2:$K$5001,0)),"")</f>
        <v/>
      </c>
      <c r="F22" s="10" t="str">
        <f aca="false">IFERROR(INDEX(Data!F$2:F$5001,MATCH(15,Data!$K$2:$K$5001,0)),"")</f>
        <v/>
      </c>
      <c r="G22" s="8" t="str">
        <f aca="false">IFERROR(INDEX(Data!G$2:G$5001,MATCH(15,Data!$K$2:$K$5001,0)),"")</f>
        <v/>
      </c>
      <c r="H22" s="11" t="str">
        <f aca="false">IFERROR(INDEX(Data!H$2:H$5001,MATCH(15,Data!$K$2:$K$5001,0)),"")</f>
        <v/>
      </c>
    </row>
    <row r="23" customFormat="false" ht="15" hidden="false" customHeight="false" outlineLevel="0" collapsed="false">
      <c r="A23" s="12" t="str">
        <f aca="false">IFERROR(INDEX(Data!A$2:A$5001,MATCH(16,Data!$K$2:$K$5001,0)),"")</f>
        <v/>
      </c>
      <c r="B23" s="13" t="str">
        <f aca="false">IFERROR(INDEX(Data!B$2:B$5001,MATCH(16,Data!$K$2:$K$5001,0)),"")</f>
        <v/>
      </c>
      <c r="C23" s="13" t="str">
        <f aca="false">IFERROR(INDEX(Data!C$2:C$5001,MATCH(16,Data!$K$2:$K$5001,0)),"")</f>
        <v/>
      </c>
      <c r="D23" s="14" t="str">
        <f aca="false">IFERROR(INDEX(Data!D$2:D$5001,MATCH(16,Data!$K$2:$K$5001,0)),"")</f>
        <v/>
      </c>
      <c r="E23" s="13" t="str">
        <f aca="false">IFERROR(INDEX(Data!E$2:E$5001,MATCH(16,Data!$K$2:$K$5001,0)),"")</f>
        <v/>
      </c>
      <c r="F23" s="15" t="str">
        <f aca="false">IFERROR(INDEX(Data!F$2:F$5001,MATCH(16,Data!$K$2:$K$5001,0)),"")</f>
        <v/>
      </c>
      <c r="G23" s="13" t="str">
        <f aca="false">IFERROR(INDEX(Data!G$2:G$5001,MATCH(16,Data!$K$2:$K$5001,0)),"")</f>
        <v/>
      </c>
      <c r="H23" s="16" t="str">
        <f aca="false">IFERROR(INDEX(Data!H$2:H$5001,MATCH(16,Data!$K$2:$K$5001,0)),"")</f>
        <v/>
      </c>
    </row>
    <row r="24" customFormat="false" ht="15" hidden="false" customHeight="false" outlineLevel="0" collapsed="false">
      <c r="A24" s="7" t="str">
        <f aca="false">IFERROR(INDEX(Data!A$2:A$5001,MATCH(17,Data!$K$2:$K$5001,0)),"")</f>
        <v/>
      </c>
      <c r="B24" s="8" t="str">
        <f aca="false">IFERROR(INDEX(Data!B$2:B$5001,MATCH(17,Data!$K$2:$K$5001,0)),"")</f>
        <v/>
      </c>
      <c r="C24" s="8" t="str">
        <f aca="false">IFERROR(INDEX(Data!C$2:C$5001,MATCH(17,Data!$K$2:$K$5001,0)),"")</f>
        <v/>
      </c>
      <c r="D24" s="9" t="str">
        <f aca="false">IFERROR(INDEX(Data!D$2:D$5001,MATCH(17,Data!$K$2:$K$5001,0)),"")</f>
        <v/>
      </c>
      <c r="E24" s="8" t="str">
        <f aca="false">IFERROR(INDEX(Data!E$2:E$5001,MATCH(17,Data!$K$2:$K$5001,0)),"")</f>
        <v/>
      </c>
      <c r="F24" s="10" t="str">
        <f aca="false">IFERROR(INDEX(Data!F$2:F$5001,MATCH(17,Data!$K$2:$K$5001,0)),"")</f>
        <v/>
      </c>
      <c r="G24" s="8" t="str">
        <f aca="false">IFERROR(INDEX(Data!G$2:G$5001,MATCH(17,Data!$K$2:$K$5001,0)),"")</f>
        <v/>
      </c>
      <c r="H24" s="11" t="str">
        <f aca="false">IFERROR(INDEX(Data!H$2:H$5001,MATCH(17,Data!$K$2:$K$5001,0)),"")</f>
        <v/>
      </c>
    </row>
    <row r="25" customFormat="false" ht="15" hidden="false" customHeight="false" outlineLevel="0" collapsed="false">
      <c r="A25" s="12" t="str">
        <f aca="false">IFERROR(INDEX(Data!A$2:A$5001,MATCH(18,Data!$K$2:$K$5001,0)),"")</f>
        <v/>
      </c>
      <c r="B25" s="13" t="str">
        <f aca="false">IFERROR(INDEX(Data!B$2:B$5001,MATCH(18,Data!$K$2:$K$5001,0)),"")</f>
        <v/>
      </c>
      <c r="C25" s="13" t="str">
        <f aca="false">IFERROR(INDEX(Data!C$2:C$5001,MATCH(18,Data!$K$2:$K$5001,0)),"")</f>
        <v/>
      </c>
      <c r="D25" s="14" t="str">
        <f aca="false">IFERROR(INDEX(Data!D$2:D$5001,MATCH(18,Data!$K$2:$K$5001,0)),"")</f>
        <v/>
      </c>
      <c r="E25" s="13" t="str">
        <f aca="false">IFERROR(INDEX(Data!E$2:E$5001,MATCH(18,Data!$K$2:$K$5001,0)),"")</f>
        <v/>
      </c>
      <c r="F25" s="15" t="str">
        <f aca="false">IFERROR(INDEX(Data!F$2:F$5001,MATCH(18,Data!$K$2:$K$5001,0)),"")</f>
        <v/>
      </c>
      <c r="G25" s="13" t="str">
        <f aca="false">IFERROR(INDEX(Data!G$2:G$5001,MATCH(18,Data!$K$2:$K$5001,0)),"")</f>
        <v/>
      </c>
      <c r="H25" s="16" t="str">
        <f aca="false">IFERROR(INDEX(Data!H$2:H$5001,MATCH(18,Data!$K$2:$K$5001,0)),"")</f>
        <v/>
      </c>
    </row>
    <row r="26" customFormat="false" ht="15" hidden="false" customHeight="false" outlineLevel="0" collapsed="false">
      <c r="A26" s="7" t="str">
        <f aca="false">IFERROR(INDEX(Data!A$2:A$5001,MATCH(19,Data!$K$2:$K$5001,0)),"")</f>
        <v/>
      </c>
      <c r="B26" s="8" t="str">
        <f aca="false">IFERROR(INDEX(Data!B$2:B$5001,MATCH(19,Data!$K$2:$K$5001,0)),"")</f>
        <v/>
      </c>
      <c r="C26" s="8" t="str">
        <f aca="false">IFERROR(INDEX(Data!C$2:C$5001,MATCH(19,Data!$K$2:$K$5001,0)),"")</f>
        <v/>
      </c>
      <c r="D26" s="9" t="str">
        <f aca="false">IFERROR(INDEX(Data!D$2:D$5001,MATCH(19,Data!$K$2:$K$5001,0)),"")</f>
        <v/>
      </c>
      <c r="E26" s="8" t="str">
        <f aca="false">IFERROR(INDEX(Data!E$2:E$5001,MATCH(19,Data!$K$2:$K$5001,0)),"")</f>
        <v/>
      </c>
      <c r="F26" s="10" t="str">
        <f aca="false">IFERROR(INDEX(Data!F$2:F$5001,MATCH(19,Data!$K$2:$K$5001,0)),"")</f>
        <v/>
      </c>
      <c r="G26" s="8" t="str">
        <f aca="false">IFERROR(INDEX(Data!G$2:G$5001,MATCH(19,Data!$K$2:$K$5001,0)),"")</f>
        <v/>
      </c>
      <c r="H26" s="11" t="str">
        <f aca="false">IFERROR(INDEX(Data!H$2:H$5001,MATCH(19,Data!$K$2:$K$5001,0)),"")</f>
        <v/>
      </c>
    </row>
    <row r="27" customFormat="false" ht="15" hidden="false" customHeight="false" outlineLevel="0" collapsed="false">
      <c r="A27" s="12" t="str">
        <f aca="false">IFERROR(INDEX(Data!A$2:A$5001,MATCH(20,Data!$K$2:$K$5001,0)),"")</f>
        <v/>
      </c>
      <c r="B27" s="13" t="str">
        <f aca="false">IFERROR(INDEX(Data!B$2:B$5001,MATCH(20,Data!$K$2:$K$5001,0)),"")</f>
        <v/>
      </c>
      <c r="C27" s="13" t="str">
        <f aca="false">IFERROR(INDEX(Data!C$2:C$5001,MATCH(20,Data!$K$2:$K$5001,0)),"")</f>
        <v/>
      </c>
      <c r="D27" s="14" t="str">
        <f aca="false">IFERROR(INDEX(Data!D$2:D$5001,MATCH(20,Data!$K$2:$K$5001,0)),"")</f>
        <v/>
      </c>
      <c r="E27" s="13" t="str">
        <f aca="false">IFERROR(INDEX(Data!E$2:E$5001,MATCH(20,Data!$K$2:$K$5001,0)),"")</f>
        <v/>
      </c>
      <c r="F27" s="15" t="str">
        <f aca="false">IFERROR(INDEX(Data!F$2:F$5001,MATCH(20,Data!$K$2:$K$5001,0)),"")</f>
        <v/>
      </c>
      <c r="G27" s="13" t="str">
        <f aca="false">IFERROR(INDEX(Data!G$2:G$5001,MATCH(20,Data!$K$2:$K$5001,0)),"")</f>
        <v/>
      </c>
      <c r="H27" s="16" t="str">
        <f aca="false">IFERROR(INDEX(Data!H$2:H$5001,MATCH(20,Data!$K$2:$K$5001,0)),"")</f>
        <v/>
      </c>
    </row>
    <row r="28" customFormat="false" ht="15" hidden="false" customHeight="false" outlineLevel="0" collapsed="false">
      <c r="A28" s="7" t="str">
        <f aca="false">IFERROR(INDEX(Data!A$2:A$5001,MATCH(21,Data!$K$2:$K$5001,0)),"")</f>
        <v/>
      </c>
      <c r="B28" s="8" t="str">
        <f aca="false">IFERROR(INDEX(Data!B$2:B$5001,MATCH(21,Data!$K$2:$K$5001,0)),"")</f>
        <v/>
      </c>
      <c r="C28" s="8" t="str">
        <f aca="false">IFERROR(INDEX(Data!C$2:C$5001,MATCH(21,Data!$K$2:$K$5001,0)),"")</f>
        <v/>
      </c>
      <c r="D28" s="9" t="str">
        <f aca="false">IFERROR(INDEX(Data!D$2:D$5001,MATCH(21,Data!$K$2:$K$5001,0)),"")</f>
        <v/>
      </c>
      <c r="E28" s="8" t="str">
        <f aca="false">IFERROR(INDEX(Data!E$2:E$5001,MATCH(21,Data!$K$2:$K$5001,0)),"")</f>
        <v/>
      </c>
      <c r="F28" s="10" t="str">
        <f aca="false">IFERROR(INDEX(Data!F$2:F$5001,MATCH(21,Data!$K$2:$K$5001,0)),"")</f>
        <v/>
      </c>
      <c r="G28" s="8" t="str">
        <f aca="false">IFERROR(INDEX(Data!G$2:G$5001,MATCH(21,Data!$K$2:$K$5001,0)),"")</f>
        <v/>
      </c>
      <c r="H28" s="11" t="str">
        <f aca="false">IFERROR(INDEX(Data!H$2:H$5001,MATCH(21,Data!$K$2:$K$5001,0)),"")</f>
        <v/>
      </c>
    </row>
    <row r="29" customFormat="false" ht="15" hidden="false" customHeight="false" outlineLevel="0" collapsed="false">
      <c r="A29" s="12" t="str">
        <f aca="false">IFERROR(INDEX(Data!A$2:A$5001,MATCH(22,Data!$K$2:$K$5001,0)),"")</f>
        <v/>
      </c>
      <c r="B29" s="13" t="str">
        <f aca="false">IFERROR(INDEX(Data!B$2:B$5001,MATCH(22,Data!$K$2:$K$5001,0)),"")</f>
        <v/>
      </c>
      <c r="C29" s="13" t="str">
        <f aca="false">IFERROR(INDEX(Data!C$2:C$5001,MATCH(22,Data!$K$2:$K$5001,0)),"")</f>
        <v/>
      </c>
      <c r="D29" s="14" t="str">
        <f aca="false">IFERROR(INDEX(Data!D$2:D$5001,MATCH(22,Data!$K$2:$K$5001,0)),"")</f>
        <v/>
      </c>
      <c r="E29" s="13" t="str">
        <f aca="false">IFERROR(INDEX(Data!E$2:E$5001,MATCH(22,Data!$K$2:$K$5001,0)),"")</f>
        <v/>
      </c>
      <c r="F29" s="15" t="str">
        <f aca="false">IFERROR(INDEX(Data!F$2:F$5001,MATCH(22,Data!$K$2:$K$5001,0)),"")</f>
        <v/>
      </c>
      <c r="G29" s="13" t="str">
        <f aca="false">IFERROR(INDEX(Data!G$2:G$5001,MATCH(22,Data!$K$2:$K$5001,0)),"")</f>
        <v/>
      </c>
      <c r="H29" s="16" t="str">
        <f aca="false">IFERROR(INDEX(Data!H$2:H$5001,MATCH(22,Data!$K$2:$K$5001,0)),"")</f>
        <v/>
      </c>
    </row>
    <row r="30" customFormat="false" ht="15" hidden="false" customHeight="false" outlineLevel="0" collapsed="false">
      <c r="A30" s="7" t="str">
        <f aca="false">IFERROR(INDEX(Data!A$2:A$5001,MATCH(23,Data!$K$2:$K$5001,0)),"")</f>
        <v/>
      </c>
      <c r="B30" s="8" t="str">
        <f aca="false">IFERROR(INDEX(Data!B$2:B$5001,MATCH(23,Data!$K$2:$K$5001,0)),"")</f>
        <v/>
      </c>
      <c r="C30" s="8" t="str">
        <f aca="false">IFERROR(INDEX(Data!C$2:C$5001,MATCH(23,Data!$K$2:$K$5001,0)),"")</f>
        <v/>
      </c>
      <c r="D30" s="9" t="str">
        <f aca="false">IFERROR(INDEX(Data!D$2:D$5001,MATCH(23,Data!$K$2:$K$5001,0)),"")</f>
        <v/>
      </c>
      <c r="E30" s="8" t="str">
        <f aca="false">IFERROR(INDEX(Data!E$2:E$5001,MATCH(23,Data!$K$2:$K$5001,0)),"")</f>
        <v/>
      </c>
      <c r="F30" s="10" t="str">
        <f aca="false">IFERROR(INDEX(Data!F$2:F$5001,MATCH(23,Data!$K$2:$K$5001,0)),"")</f>
        <v/>
      </c>
      <c r="G30" s="8" t="str">
        <f aca="false">IFERROR(INDEX(Data!G$2:G$5001,MATCH(23,Data!$K$2:$K$5001,0)),"")</f>
        <v/>
      </c>
      <c r="H30" s="11" t="str">
        <f aca="false">IFERROR(INDEX(Data!H$2:H$5001,MATCH(23,Data!$K$2:$K$5001,0)),"")</f>
        <v/>
      </c>
    </row>
    <row r="31" customFormat="false" ht="15" hidden="false" customHeight="false" outlineLevel="0" collapsed="false">
      <c r="A31" s="12" t="str">
        <f aca="false">IFERROR(INDEX(Data!A$2:A$5001,MATCH(24,Data!$K$2:$K$5001,0)),"")</f>
        <v/>
      </c>
      <c r="B31" s="13" t="str">
        <f aca="false">IFERROR(INDEX(Data!B$2:B$5001,MATCH(24,Data!$K$2:$K$5001,0)),"")</f>
        <v/>
      </c>
      <c r="C31" s="13" t="str">
        <f aca="false">IFERROR(INDEX(Data!C$2:C$5001,MATCH(24,Data!$K$2:$K$5001,0)),"")</f>
        <v/>
      </c>
      <c r="D31" s="14" t="str">
        <f aca="false">IFERROR(INDEX(Data!D$2:D$5001,MATCH(24,Data!$K$2:$K$5001,0)),"")</f>
        <v/>
      </c>
      <c r="E31" s="13" t="str">
        <f aca="false">IFERROR(INDEX(Data!E$2:E$5001,MATCH(24,Data!$K$2:$K$5001,0)),"")</f>
        <v/>
      </c>
      <c r="F31" s="15" t="str">
        <f aca="false">IFERROR(INDEX(Data!F$2:F$5001,MATCH(24,Data!$K$2:$K$5001,0)),"")</f>
        <v/>
      </c>
      <c r="G31" s="13" t="str">
        <f aca="false">IFERROR(INDEX(Data!G$2:G$5001,MATCH(24,Data!$K$2:$K$5001,0)),"")</f>
        <v/>
      </c>
      <c r="H31" s="16" t="str">
        <f aca="false">IFERROR(INDEX(Data!H$2:H$5001,MATCH(24,Data!$K$2:$K$5001,0)),"")</f>
        <v/>
      </c>
    </row>
    <row r="32" customFormat="false" ht="15" hidden="false" customHeight="false" outlineLevel="0" collapsed="false">
      <c r="A32" s="7" t="str">
        <f aca="false">IFERROR(INDEX(Data!A$2:A$5001,MATCH(25,Data!$K$2:$K$5001,0)),"")</f>
        <v/>
      </c>
      <c r="B32" s="8" t="str">
        <f aca="false">IFERROR(INDEX(Data!B$2:B$5001,MATCH(25,Data!$K$2:$K$5001,0)),"")</f>
        <v/>
      </c>
      <c r="C32" s="8" t="str">
        <f aca="false">IFERROR(INDEX(Data!C$2:C$5001,MATCH(25,Data!$K$2:$K$5001,0)),"")</f>
        <v/>
      </c>
      <c r="D32" s="9" t="str">
        <f aca="false">IFERROR(INDEX(Data!D$2:D$5001,MATCH(25,Data!$K$2:$K$5001,0)),"")</f>
        <v/>
      </c>
      <c r="E32" s="8" t="str">
        <f aca="false">IFERROR(INDEX(Data!E$2:E$5001,MATCH(25,Data!$K$2:$K$5001,0)),"")</f>
        <v/>
      </c>
      <c r="F32" s="10" t="str">
        <f aca="false">IFERROR(INDEX(Data!F$2:F$5001,MATCH(25,Data!$K$2:$K$5001,0)),"")</f>
        <v/>
      </c>
      <c r="G32" s="8" t="str">
        <f aca="false">IFERROR(INDEX(Data!G$2:G$5001,MATCH(25,Data!$K$2:$K$5001,0)),"")</f>
        <v/>
      </c>
      <c r="H32" s="11" t="str">
        <f aca="false">IFERROR(INDEX(Data!H$2:H$5001,MATCH(25,Data!$K$2:$K$5001,0)),"")</f>
        <v/>
      </c>
    </row>
    <row r="33" customFormat="false" ht="15" hidden="false" customHeight="false" outlineLevel="0" collapsed="false">
      <c r="A33" s="12" t="str">
        <f aca="false">IFERROR(INDEX(Data!A$2:A$5001,MATCH(26,Data!$K$2:$K$5001,0)),"")</f>
        <v/>
      </c>
      <c r="B33" s="13" t="str">
        <f aca="false">IFERROR(INDEX(Data!B$2:B$5001,MATCH(26,Data!$K$2:$K$5001,0)),"")</f>
        <v/>
      </c>
      <c r="C33" s="13" t="str">
        <f aca="false">IFERROR(INDEX(Data!C$2:C$5001,MATCH(26,Data!$K$2:$K$5001,0)),"")</f>
        <v/>
      </c>
      <c r="D33" s="14" t="str">
        <f aca="false">IFERROR(INDEX(Data!D$2:D$5001,MATCH(26,Data!$K$2:$K$5001,0)),"")</f>
        <v/>
      </c>
      <c r="E33" s="13" t="str">
        <f aca="false">IFERROR(INDEX(Data!E$2:E$5001,MATCH(26,Data!$K$2:$K$5001,0)),"")</f>
        <v/>
      </c>
      <c r="F33" s="15" t="str">
        <f aca="false">IFERROR(INDEX(Data!F$2:F$5001,MATCH(26,Data!$K$2:$K$5001,0)),"")</f>
        <v/>
      </c>
      <c r="G33" s="13" t="str">
        <f aca="false">IFERROR(INDEX(Data!G$2:G$5001,MATCH(26,Data!$K$2:$K$5001,0)),"")</f>
        <v/>
      </c>
      <c r="H33" s="16" t="str">
        <f aca="false">IFERROR(INDEX(Data!H$2:H$5001,MATCH(26,Data!$K$2:$K$5001,0)),"")</f>
        <v/>
      </c>
    </row>
    <row r="34" customFormat="false" ht="15" hidden="false" customHeight="false" outlineLevel="0" collapsed="false">
      <c r="A34" s="7" t="str">
        <f aca="false">IFERROR(INDEX(Data!A$2:A$5001,MATCH(27,Data!$K$2:$K$5001,0)),"")</f>
        <v/>
      </c>
      <c r="B34" s="8" t="str">
        <f aca="false">IFERROR(INDEX(Data!B$2:B$5001,MATCH(27,Data!$K$2:$K$5001,0)),"")</f>
        <v/>
      </c>
      <c r="C34" s="8" t="str">
        <f aca="false">IFERROR(INDEX(Data!C$2:C$5001,MATCH(27,Data!$K$2:$K$5001,0)),"")</f>
        <v/>
      </c>
      <c r="D34" s="9" t="str">
        <f aca="false">IFERROR(INDEX(Data!D$2:D$5001,MATCH(27,Data!$K$2:$K$5001,0)),"")</f>
        <v/>
      </c>
      <c r="E34" s="8" t="str">
        <f aca="false">IFERROR(INDEX(Data!E$2:E$5001,MATCH(27,Data!$K$2:$K$5001,0)),"")</f>
        <v/>
      </c>
      <c r="F34" s="10" t="str">
        <f aca="false">IFERROR(INDEX(Data!F$2:F$5001,MATCH(27,Data!$K$2:$K$5001,0)),"")</f>
        <v/>
      </c>
      <c r="G34" s="8" t="str">
        <f aca="false">IFERROR(INDEX(Data!G$2:G$5001,MATCH(27,Data!$K$2:$K$5001,0)),"")</f>
        <v/>
      </c>
      <c r="H34" s="11" t="str">
        <f aca="false">IFERROR(INDEX(Data!H$2:H$5001,MATCH(27,Data!$K$2:$K$5001,0)),"")</f>
        <v/>
      </c>
    </row>
    <row r="35" customFormat="false" ht="15" hidden="false" customHeight="false" outlineLevel="0" collapsed="false">
      <c r="A35" s="12" t="str">
        <f aca="false">IFERROR(INDEX(Data!A$2:A$5001,MATCH(28,Data!$K$2:$K$5001,0)),"")</f>
        <v/>
      </c>
      <c r="B35" s="13" t="str">
        <f aca="false">IFERROR(INDEX(Data!B$2:B$5001,MATCH(28,Data!$K$2:$K$5001,0)),"")</f>
        <v/>
      </c>
      <c r="C35" s="13" t="str">
        <f aca="false">IFERROR(INDEX(Data!C$2:C$5001,MATCH(28,Data!$K$2:$K$5001,0)),"")</f>
        <v/>
      </c>
      <c r="D35" s="14" t="str">
        <f aca="false">IFERROR(INDEX(Data!D$2:D$5001,MATCH(28,Data!$K$2:$K$5001,0)),"")</f>
        <v/>
      </c>
      <c r="E35" s="13" t="str">
        <f aca="false">IFERROR(INDEX(Data!E$2:E$5001,MATCH(28,Data!$K$2:$K$5001,0)),"")</f>
        <v/>
      </c>
      <c r="F35" s="15" t="str">
        <f aca="false">IFERROR(INDEX(Data!F$2:F$5001,MATCH(28,Data!$K$2:$K$5001,0)),"")</f>
        <v/>
      </c>
      <c r="G35" s="13" t="str">
        <f aca="false">IFERROR(INDEX(Data!G$2:G$5001,MATCH(28,Data!$K$2:$K$5001,0)),"")</f>
        <v/>
      </c>
      <c r="H35" s="16" t="str">
        <f aca="false">IFERROR(INDEX(Data!H$2:H$5001,MATCH(28,Data!$K$2:$K$5001,0)),"")</f>
        <v/>
      </c>
    </row>
    <row r="36" customFormat="false" ht="15" hidden="false" customHeight="false" outlineLevel="0" collapsed="false">
      <c r="A36" s="7" t="str">
        <f aca="false">IFERROR(INDEX(Data!A$2:A$5001,MATCH(29,Data!$K$2:$K$5001,0)),"")</f>
        <v/>
      </c>
      <c r="B36" s="8" t="str">
        <f aca="false">IFERROR(INDEX(Data!B$2:B$5001,MATCH(29,Data!$K$2:$K$5001,0)),"")</f>
        <v/>
      </c>
      <c r="C36" s="8" t="str">
        <f aca="false">IFERROR(INDEX(Data!C$2:C$5001,MATCH(29,Data!$K$2:$K$5001,0)),"")</f>
        <v/>
      </c>
      <c r="D36" s="9" t="str">
        <f aca="false">IFERROR(INDEX(Data!D$2:D$5001,MATCH(29,Data!$K$2:$K$5001,0)),"")</f>
        <v/>
      </c>
      <c r="E36" s="8" t="str">
        <f aca="false">IFERROR(INDEX(Data!E$2:E$5001,MATCH(29,Data!$K$2:$K$5001,0)),"")</f>
        <v/>
      </c>
      <c r="F36" s="10" t="str">
        <f aca="false">IFERROR(INDEX(Data!F$2:F$5001,MATCH(29,Data!$K$2:$K$5001,0)),"")</f>
        <v/>
      </c>
      <c r="G36" s="8" t="str">
        <f aca="false">IFERROR(INDEX(Data!G$2:G$5001,MATCH(29,Data!$K$2:$K$5001,0)),"")</f>
        <v/>
      </c>
      <c r="H36" s="11" t="str">
        <f aca="false">IFERROR(INDEX(Data!H$2:H$5001,MATCH(29,Data!$K$2:$K$5001,0)),"")</f>
        <v/>
      </c>
    </row>
    <row r="37" customFormat="false" ht="15" hidden="false" customHeight="false" outlineLevel="0" collapsed="false">
      <c r="A37" s="12" t="str">
        <f aca="false">IFERROR(INDEX(Data!A$2:A$5001,MATCH(30,Data!$K$2:$K$5001,0)),"")</f>
        <v/>
      </c>
      <c r="B37" s="13" t="str">
        <f aca="false">IFERROR(INDEX(Data!B$2:B$5001,MATCH(30,Data!$K$2:$K$5001,0)),"")</f>
        <v/>
      </c>
      <c r="C37" s="13" t="str">
        <f aca="false">IFERROR(INDEX(Data!C$2:C$5001,MATCH(30,Data!$K$2:$K$5001,0)),"")</f>
        <v/>
      </c>
      <c r="D37" s="14" t="str">
        <f aca="false">IFERROR(INDEX(Data!D$2:D$5001,MATCH(30,Data!$K$2:$K$5001,0)),"")</f>
        <v/>
      </c>
      <c r="E37" s="13" t="str">
        <f aca="false">IFERROR(INDEX(Data!E$2:E$5001,MATCH(30,Data!$K$2:$K$5001,0)),"")</f>
        <v/>
      </c>
      <c r="F37" s="15" t="str">
        <f aca="false">IFERROR(INDEX(Data!F$2:F$5001,MATCH(30,Data!$K$2:$K$5001,0)),"")</f>
        <v/>
      </c>
      <c r="G37" s="13" t="str">
        <f aca="false">IFERROR(INDEX(Data!G$2:G$5001,MATCH(30,Data!$K$2:$K$5001,0)),"")</f>
        <v/>
      </c>
      <c r="H37" s="16" t="str">
        <f aca="false">IFERROR(INDEX(Data!H$2:H$5001,MATCH(30,Data!$K$2:$K$5001,0)),"")</f>
        <v/>
      </c>
    </row>
    <row r="38" customFormat="false" ht="15" hidden="false" customHeight="false" outlineLevel="0" collapsed="false">
      <c r="A38" s="7" t="str">
        <f aca="false">IFERROR(INDEX(Data!A$2:A$5001,MATCH(31,Data!$K$2:$K$5001,0)),"")</f>
        <v/>
      </c>
      <c r="B38" s="8" t="str">
        <f aca="false">IFERROR(INDEX(Data!B$2:B$5001,MATCH(31,Data!$K$2:$K$5001,0)),"")</f>
        <v/>
      </c>
      <c r="C38" s="8" t="str">
        <f aca="false">IFERROR(INDEX(Data!C$2:C$5001,MATCH(31,Data!$K$2:$K$5001,0)),"")</f>
        <v/>
      </c>
      <c r="D38" s="9" t="str">
        <f aca="false">IFERROR(INDEX(Data!D$2:D$5001,MATCH(31,Data!$K$2:$K$5001,0)),"")</f>
        <v/>
      </c>
      <c r="E38" s="8" t="str">
        <f aca="false">IFERROR(INDEX(Data!E$2:E$5001,MATCH(31,Data!$K$2:$K$5001,0)),"")</f>
        <v/>
      </c>
      <c r="F38" s="10" t="str">
        <f aca="false">IFERROR(INDEX(Data!F$2:F$5001,MATCH(31,Data!$K$2:$K$5001,0)),"")</f>
        <v/>
      </c>
      <c r="G38" s="8" t="str">
        <f aca="false">IFERROR(INDEX(Data!G$2:G$5001,MATCH(31,Data!$K$2:$K$5001,0)),"")</f>
        <v/>
      </c>
      <c r="H38" s="11" t="str">
        <f aca="false">IFERROR(INDEX(Data!H$2:H$5001,MATCH(31,Data!$K$2:$K$5001,0)),"")</f>
        <v/>
      </c>
    </row>
    <row r="39" customFormat="false" ht="15" hidden="false" customHeight="false" outlineLevel="0" collapsed="false">
      <c r="A39" s="12" t="str">
        <f aca="false">IFERROR(INDEX(Data!A$2:A$5001,MATCH(32,Data!$K$2:$K$5001,0)),"")</f>
        <v/>
      </c>
      <c r="B39" s="13" t="str">
        <f aca="false">IFERROR(INDEX(Data!B$2:B$5001,MATCH(32,Data!$K$2:$K$5001,0)),"")</f>
        <v/>
      </c>
      <c r="C39" s="13" t="str">
        <f aca="false">IFERROR(INDEX(Data!C$2:C$5001,MATCH(32,Data!$K$2:$K$5001,0)),"")</f>
        <v/>
      </c>
      <c r="D39" s="14" t="str">
        <f aca="false">IFERROR(INDEX(Data!D$2:D$5001,MATCH(32,Data!$K$2:$K$5001,0)),"")</f>
        <v/>
      </c>
      <c r="E39" s="13" t="str">
        <f aca="false">IFERROR(INDEX(Data!E$2:E$5001,MATCH(32,Data!$K$2:$K$5001,0)),"")</f>
        <v/>
      </c>
      <c r="F39" s="15" t="str">
        <f aca="false">IFERROR(INDEX(Data!F$2:F$5001,MATCH(32,Data!$K$2:$K$5001,0)),"")</f>
        <v/>
      </c>
      <c r="G39" s="13" t="str">
        <f aca="false">IFERROR(INDEX(Data!G$2:G$5001,MATCH(32,Data!$K$2:$K$5001,0)),"")</f>
        <v/>
      </c>
      <c r="H39" s="16" t="str">
        <f aca="false">IFERROR(INDEX(Data!H$2:H$5001,MATCH(32,Data!$K$2:$K$5001,0)),"")</f>
        <v/>
      </c>
    </row>
    <row r="40" customFormat="false" ht="15" hidden="false" customHeight="false" outlineLevel="0" collapsed="false">
      <c r="A40" s="7" t="str">
        <f aca="false">IFERROR(INDEX(Data!A$2:A$5001,MATCH(33,Data!$K$2:$K$5001,0)),"")</f>
        <v/>
      </c>
      <c r="B40" s="8" t="str">
        <f aca="false">IFERROR(INDEX(Data!B$2:B$5001,MATCH(33,Data!$K$2:$K$5001,0)),"")</f>
        <v/>
      </c>
      <c r="C40" s="8" t="str">
        <f aca="false">IFERROR(INDEX(Data!C$2:C$5001,MATCH(33,Data!$K$2:$K$5001,0)),"")</f>
        <v/>
      </c>
      <c r="D40" s="9" t="str">
        <f aca="false">IFERROR(INDEX(Data!D$2:D$5001,MATCH(33,Data!$K$2:$K$5001,0)),"")</f>
        <v/>
      </c>
      <c r="E40" s="8" t="str">
        <f aca="false">IFERROR(INDEX(Data!E$2:E$5001,MATCH(33,Data!$K$2:$K$5001,0)),"")</f>
        <v/>
      </c>
      <c r="F40" s="10" t="str">
        <f aca="false">IFERROR(INDEX(Data!F$2:F$5001,MATCH(33,Data!$K$2:$K$5001,0)),"")</f>
        <v/>
      </c>
      <c r="G40" s="8" t="str">
        <f aca="false">IFERROR(INDEX(Data!G$2:G$5001,MATCH(33,Data!$K$2:$K$5001,0)),"")</f>
        <v/>
      </c>
      <c r="H40" s="11" t="str">
        <f aca="false">IFERROR(INDEX(Data!H$2:H$5001,MATCH(33,Data!$K$2:$K$5001,0)),"")</f>
        <v/>
      </c>
    </row>
    <row r="41" customFormat="false" ht="15" hidden="false" customHeight="false" outlineLevel="0" collapsed="false">
      <c r="A41" s="12" t="str">
        <f aca="false">IFERROR(INDEX(Data!A$2:A$5001,MATCH(34,Data!$K$2:$K$5001,0)),"")</f>
        <v/>
      </c>
      <c r="B41" s="13" t="str">
        <f aca="false">IFERROR(INDEX(Data!B$2:B$5001,MATCH(34,Data!$K$2:$K$5001,0)),"")</f>
        <v/>
      </c>
      <c r="C41" s="13" t="str">
        <f aca="false">IFERROR(INDEX(Data!C$2:C$5001,MATCH(34,Data!$K$2:$K$5001,0)),"")</f>
        <v/>
      </c>
      <c r="D41" s="14" t="str">
        <f aca="false">IFERROR(INDEX(Data!D$2:D$5001,MATCH(34,Data!$K$2:$K$5001,0)),"")</f>
        <v/>
      </c>
      <c r="E41" s="13" t="str">
        <f aca="false">IFERROR(INDEX(Data!E$2:E$5001,MATCH(34,Data!$K$2:$K$5001,0)),"")</f>
        <v/>
      </c>
      <c r="F41" s="15" t="str">
        <f aca="false">IFERROR(INDEX(Data!F$2:F$5001,MATCH(34,Data!$K$2:$K$5001,0)),"")</f>
        <v/>
      </c>
      <c r="G41" s="13" t="str">
        <f aca="false">IFERROR(INDEX(Data!G$2:G$5001,MATCH(34,Data!$K$2:$K$5001,0)),"")</f>
        <v/>
      </c>
      <c r="H41" s="16" t="str">
        <f aca="false">IFERROR(INDEX(Data!H$2:H$5001,MATCH(34,Data!$K$2:$K$5001,0)),"")</f>
        <v/>
      </c>
    </row>
    <row r="42" customFormat="false" ht="15" hidden="false" customHeight="false" outlineLevel="0" collapsed="false">
      <c r="A42" s="7" t="str">
        <f aca="false">IFERROR(INDEX(Data!A$2:A$5001,MATCH(35,Data!$K$2:$K$5001,0)),"")</f>
        <v/>
      </c>
      <c r="B42" s="8" t="str">
        <f aca="false">IFERROR(INDEX(Data!B$2:B$5001,MATCH(35,Data!$K$2:$K$5001,0)),"")</f>
        <v/>
      </c>
      <c r="C42" s="8" t="str">
        <f aca="false">IFERROR(INDEX(Data!C$2:C$5001,MATCH(35,Data!$K$2:$K$5001,0)),"")</f>
        <v/>
      </c>
      <c r="D42" s="9" t="str">
        <f aca="false">IFERROR(INDEX(Data!D$2:D$5001,MATCH(35,Data!$K$2:$K$5001,0)),"")</f>
        <v/>
      </c>
      <c r="E42" s="8" t="str">
        <f aca="false">IFERROR(INDEX(Data!E$2:E$5001,MATCH(35,Data!$K$2:$K$5001,0)),"")</f>
        <v/>
      </c>
      <c r="F42" s="10" t="str">
        <f aca="false">IFERROR(INDEX(Data!F$2:F$5001,MATCH(35,Data!$K$2:$K$5001,0)),"")</f>
        <v/>
      </c>
      <c r="G42" s="8" t="str">
        <f aca="false">IFERROR(INDEX(Data!G$2:G$5001,MATCH(35,Data!$K$2:$K$5001,0)),"")</f>
        <v/>
      </c>
      <c r="H42" s="11" t="str">
        <f aca="false">IFERROR(INDEX(Data!H$2:H$5001,MATCH(35,Data!$K$2:$K$5001,0)),"")</f>
        <v/>
      </c>
    </row>
    <row r="43" customFormat="false" ht="15" hidden="false" customHeight="false" outlineLevel="0" collapsed="false">
      <c r="A43" s="12" t="str">
        <f aca="false">IFERROR(INDEX(Data!A$2:A$5001,MATCH(36,Data!$K$2:$K$5001,0)),"")</f>
        <v/>
      </c>
      <c r="B43" s="13" t="str">
        <f aca="false">IFERROR(INDEX(Data!B$2:B$5001,MATCH(36,Data!$K$2:$K$5001,0)),"")</f>
        <v/>
      </c>
      <c r="C43" s="13" t="str">
        <f aca="false">IFERROR(INDEX(Data!C$2:C$5001,MATCH(36,Data!$K$2:$K$5001,0)),"")</f>
        <v/>
      </c>
      <c r="D43" s="14" t="str">
        <f aca="false">IFERROR(INDEX(Data!D$2:D$5001,MATCH(36,Data!$K$2:$K$5001,0)),"")</f>
        <v/>
      </c>
      <c r="E43" s="13" t="str">
        <f aca="false">IFERROR(INDEX(Data!E$2:E$5001,MATCH(36,Data!$K$2:$K$5001,0)),"")</f>
        <v/>
      </c>
      <c r="F43" s="15" t="str">
        <f aca="false">IFERROR(INDEX(Data!F$2:F$5001,MATCH(36,Data!$K$2:$K$5001,0)),"")</f>
        <v/>
      </c>
      <c r="G43" s="13" t="str">
        <f aca="false">IFERROR(INDEX(Data!G$2:G$5001,MATCH(36,Data!$K$2:$K$5001,0)),"")</f>
        <v/>
      </c>
      <c r="H43" s="16" t="str">
        <f aca="false">IFERROR(INDEX(Data!H$2:H$5001,MATCH(36,Data!$K$2:$K$5001,0)),"")</f>
        <v/>
      </c>
    </row>
    <row r="44" customFormat="false" ht="15" hidden="false" customHeight="false" outlineLevel="0" collapsed="false">
      <c r="A44" s="7" t="str">
        <f aca="false">IFERROR(INDEX(Data!A$2:A$5001,MATCH(37,Data!$K$2:$K$5001,0)),"")</f>
        <v/>
      </c>
      <c r="B44" s="8" t="str">
        <f aca="false">IFERROR(INDEX(Data!B$2:B$5001,MATCH(37,Data!$K$2:$K$5001,0)),"")</f>
        <v/>
      </c>
      <c r="C44" s="8" t="str">
        <f aca="false">IFERROR(INDEX(Data!C$2:C$5001,MATCH(37,Data!$K$2:$K$5001,0)),"")</f>
        <v/>
      </c>
      <c r="D44" s="9" t="str">
        <f aca="false">IFERROR(INDEX(Data!D$2:D$5001,MATCH(37,Data!$K$2:$K$5001,0)),"")</f>
        <v/>
      </c>
      <c r="E44" s="8" t="str">
        <f aca="false">IFERROR(INDEX(Data!E$2:E$5001,MATCH(37,Data!$K$2:$K$5001,0)),"")</f>
        <v/>
      </c>
      <c r="F44" s="10" t="str">
        <f aca="false">IFERROR(INDEX(Data!F$2:F$5001,MATCH(37,Data!$K$2:$K$5001,0)),"")</f>
        <v/>
      </c>
      <c r="G44" s="8" t="str">
        <f aca="false">IFERROR(INDEX(Data!G$2:G$5001,MATCH(37,Data!$K$2:$K$5001,0)),"")</f>
        <v/>
      </c>
      <c r="H44" s="11" t="str">
        <f aca="false">IFERROR(INDEX(Data!H$2:H$5001,MATCH(37,Data!$K$2:$K$5001,0)),"")</f>
        <v/>
      </c>
    </row>
    <row r="45" customFormat="false" ht="15" hidden="false" customHeight="false" outlineLevel="0" collapsed="false">
      <c r="A45" s="12" t="str">
        <f aca="false">IFERROR(INDEX(Data!A$2:A$5001,MATCH(38,Data!$K$2:$K$5001,0)),"")</f>
        <v/>
      </c>
      <c r="B45" s="13" t="str">
        <f aca="false">IFERROR(INDEX(Data!B$2:B$5001,MATCH(38,Data!$K$2:$K$5001,0)),"")</f>
        <v/>
      </c>
      <c r="C45" s="13" t="str">
        <f aca="false">IFERROR(INDEX(Data!C$2:C$5001,MATCH(38,Data!$K$2:$K$5001,0)),"")</f>
        <v/>
      </c>
      <c r="D45" s="14" t="str">
        <f aca="false">IFERROR(INDEX(Data!D$2:D$5001,MATCH(38,Data!$K$2:$K$5001,0)),"")</f>
        <v/>
      </c>
      <c r="E45" s="13" t="str">
        <f aca="false">IFERROR(INDEX(Data!E$2:E$5001,MATCH(38,Data!$K$2:$K$5001,0)),"")</f>
        <v/>
      </c>
      <c r="F45" s="15" t="str">
        <f aca="false">IFERROR(INDEX(Data!F$2:F$5001,MATCH(38,Data!$K$2:$K$5001,0)),"")</f>
        <v/>
      </c>
      <c r="G45" s="13" t="str">
        <f aca="false">IFERROR(INDEX(Data!G$2:G$5001,MATCH(38,Data!$K$2:$K$5001,0)),"")</f>
        <v/>
      </c>
      <c r="H45" s="16" t="str">
        <f aca="false">IFERROR(INDEX(Data!H$2:H$5001,MATCH(38,Data!$K$2:$K$5001,0)),"")</f>
        <v/>
      </c>
    </row>
    <row r="46" customFormat="false" ht="15" hidden="false" customHeight="false" outlineLevel="0" collapsed="false">
      <c r="A46" s="7" t="str">
        <f aca="false">IFERROR(INDEX(Data!A$2:A$5001,MATCH(39,Data!$K$2:$K$5001,0)),"")</f>
        <v/>
      </c>
      <c r="B46" s="8" t="str">
        <f aca="false">IFERROR(INDEX(Data!B$2:B$5001,MATCH(39,Data!$K$2:$K$5001,0)),"")</f>
        <v/>
      </c>
      <c r="C46" s="8" t="str">
        <f aca="false">IFERROR(INDEX(Data!C$2:C$5001,MATCH(39,Data!$K$2:$K$5001,0)),"")</f>
        <v/>
      </c>
      <c r="D46" s="9" t="str">
        <f aca="false">IFERROR(INDEX(Data!D$2:D$5001,MATCH(39,Data!$K$2:$K$5001,0)),"")</f>
        <v/>
      </c>
      <c r="E46" s="8" t="str">
        <f aca="false">IFERROR(INDEX(Data!E$2:E$5001,MATCH(39,Data!$K$2:$K$5001,0)),"")</f>
        <v/>
      </c>
      <c r="F46" s="10" t="str">
        <f aca="false">IFERROR(INDEX(Data!F$2:F$5001,MATCH(39,Data!$K$2:$K$5001,0)),"")</f>
        <v/>
      </c>
      <c r="G46" s="8" t="str">
        <f aca="false">IFERROR(INDEX(Data!G$2:G$5001,MATCH(39,Data!$K$2:$K$5001,0)),"")</f>
        <v/>
      </c>
      <c r="H46" s="11" t="str">
        <f aca="false">IFERROR(INDEX(Data!H$2:H$5001,MATCH(39,Data!$K$2:$K$5001,0)),"")</f>
        <v/>
      </c>
    </row>
    <row r="47" customFormat="false" ht="15" hidden="false" customHeight="false" outlineLevel="0" collapsed="false">
      <c r="A47" s="12" t="str">
        <f aca="false">IFERROR(INDEX(Data!A$2:A$5001,MATCH(40,Data!$K$2:$K$5001,0)),"")</f>
        <v/>
      </c>
      <c r="B47" s="13" t="str">
        <f aca="false">IFERROR(INDEX(Data!B$2:B$5001,MATCH(40,Data!$K$2:$K$5001,0)),"")</f>
        <v/>
      </c>
      <c r="C47" s="13" t="str">
        <f aca="false">IFERROR(INDEX(Data!C$2:C$5001,MATCH(40,Data!$K$2:$K$5001,0)),"")</f>
        <v/>
      </c>
      <c r="D47" s="14" t="str">
        <f aca="false">IFERROR(INDEX(Data!D$2:D$5001,MATCH(40,Data!$K$2:$K$5001,0)),"")</f>
        <v/>
      </c>
      <c r="E47" s="13" t="str">
        <f aca="false">IFERROR(INDEX(Data!E$2:E$5001,MATCH(40,Data!$K$2:$K$5001,0)),"")</f>
        <v/>
      </c>
      <c r="F47" s="15" t="str">
        <f aca="false">IFERROR(INDEX(Data!F$2:F$5001,MATCH(40,Data!$K$2:$K$5001,0)),"")</f>
        <v/>
      </c>
      <c r="G47" s="13" t="str">
        <f aca="false">IFERROR(INDEX(Data!G$2:G$5001,MATCH(40,Data!$K$2:$K$5001,0)),"")</f>
        <v/>
      </c>
      <c r="H47" s="16" t="str">
        <f aca="false">IFERROR(INDEX(Data!H$2:H$5001,MATCH(40,Data!$K$2:$K$5001,0)),"")</f>
        <v/>
      </c>
    </row>
    <row r="48" customFormat="false" ht="15" hidden="false" customHeight="false" outlineLevel="0" collapsed="false">
      <c r="A48" s="7" t="str">
        <f aca="false">IFERROR(INDEX(Data!A$2:A$5001,MATCH(41,Data!$K$2:$K$5001,0)),"")</f>
        <v/>
      </c>
      <c r="B48" s="8" t="str">
        <f aca="false">IFERROR(INDEX(Data!B$2:B$5001,MATCH(41,Data!$K$2:$K$5001,0)),"")</f>
        <v/>
      </c>
      <c r="C48" s="8" t="str">
        <f aca="false">IFERROR(INDEX(Data!C$2:C$5001,MATCH(41,Data!$K$2:$K$5001,0)),"")</f>
        <v/>
      </c>
      <c r="D48" s="9" t="str">
        <f aca="false">IFERROR(INDEX(Data!D$2:D$5001,MATCH(41,Data!$K$2:$K$5001,0)),"")</f>
        <v/>
      </c>
      <c r="E48" s="8" t="str">
        <f aca="false">IFERROR(INDEX(Data!E$2:E$5001,MATCH(41,Data!$K$2:$K$5001,0)),"")</f>
        <v/>
      </c>
      <c r="F48" s="10" t="str">
        <f aca="false">IFERROR(INDEX(Data!F$2:F$5001,MATCH(41,Data!$K$2:$K$5001,0)),"")</f>
        <v/>
      </c>
      <c r="G48" s="8" t="str">
        <f aca="false">IFERROR(INDEX(Data!G$2:G$5001,MATCH(41,Data!$K$2:$K$5001,0)),"")</f>
        <v/>
      </c>
      <c r="H48" s="11" t="str">
        <f aca="false">IFERROR(INDEX(Data!H$2:H$5001,MATCH(41,Data!$K$2:$K$5001,0)),"")</f>
        <v/>
      </c>
    </row>
    <row r="49" customFormat="false" ht="15" hidden="false" customHeight="false" outlineLevel="0" collapsed="false">
      <c r="A49" s="12" t="str">
        <f aca="false">IFERROR(INDEX(Data!A$2:A$5001,MATCH(42,Data!$K$2:$K$5001,0)),"")</f>
        <v/>
      </c>
      <c r="B49" s="13" t="str">
        <f aca="false">IFERROR(INDEX(Data!B$2:B$5001,MATCH(42,Data!$K$2:$K$5001,0)),"")</f>
        <v/>
      </c>
      <c r="C49" s="13" t="str">
        <f aca="false">IFERROR(INDEX(Data!C$2:C$5001,MATCH(42,Data!$K$2:$K$5001,0)),"")</f>
        <v/>
      </c>
      <c r="D49" s="14" t="str">
        <f aca="false">IFERROR(INDEX(Data!D$2:D$5001,MATCH(42,Data!$K$2:$K$5001,0)),"")</f>
        <v/>
      </c>
      <c r="E49" s="13" t="str">
        <f aca="false">IFERROR(INDEX(Data!E$2:E$5001,MATCH(42,Data!$K$2:$K$5001,0)),"")</f>
        <v/>
      </c>
      <c r="F49" s="15" t="str">
        <f aca="false">IFERROR(INDEX(Data!F$2:F$5001,MATCH(42,Data!$K$2:$K$5001,0)),"")</f>
        <v/>
      </c>
      <c r="G49" s="13" t="str">
        <f aca="false">IFERROR(INDEX(Data!G$2:G$5001,MATCH(42,Data!$K$2:$K$5001,0)),"")</f>
        <v/>
      </c>
      <c r="H49" s="16" t="str">
        <f aca="false">IFERROR(INDEX(Data!H$2:H$5001,MATCH(42,Data!$K$2:$K$5001,0)),"")</f>
        <v/>
      </c>
    </row>
    <row r="50" customFormat="false" ht="15" hidden="false" customHeight="false" outlineLevel="0" collapsed="false">
      <c r="A50" s="7" t="str">
        <f aca="false">IFERROR(INDEX(Data!A$2:A$5001,MATCH(43,Data!$K$2:$K$5001,0)),"")</f>
        <v/>
      </c>
      <c r="B50" s="8" t="str">
        <f aca="false">IFERROR(INDEX(Data!B$2:B$5001,MATCH(43,Data!$K$2:$K$5001,0)),"")</f>
        <v/>
      </c>
      <c r="C50" s="8" t="str">
        <f aca="false">IFERROR(INDEX(Data!C$2:C$5001,MATCH(43,Data!$K$2:$K$5001,0)),"")</f>
        <v/>
      </c>
      <c r="D50" s="9" t="str">
        <f aca="false">IFERROR(INDEX(Data!D$2:D$5001,MATCH(43,Data!$K$2:$K$5001,0)),"")</f>
        <v/>
      </c>
      <c r="E50" s="8" t="str">
        <f aca="false">IFERROR(INDEX(Data!E$2:E$5001,MATCH(43,Data!$K$2:$K$5001,0)),"")</f>
        <v/>
      </c>
      <c r="F50" s="10" t="str">
        <f aca="false">IFERROR(INDEX(Data!F$2:F$5001,MATCH(43,Data!$K$2:$K$5001,0)),"")</f>
        <v/>
      </c>
      <c r="G50" s="8" t="str">
        <f aca="false">IFERROR(INDEX(Data!G$2:G$5001,MATCH(43,Data!$K$2:$K$5001,0)),"")</f>
        <v/>
      </c>
      <c r="H50" s="11" t="str">
        <f aca="false">IFERROR(INDEX(Data!H$2:H$5001,MATCH(43,Data!$K$2:$K$5001,0)),"")</f>
        <v/>
      </c>
    </row>
    <row r="51" customFormat="false" ht="15" hidden="false" customHeight="false" outlineLevel="0" collapsed="false">
      <c r="A51" s="12" t="str">
        <f aca="false">IFERROR(INDEX(Data!A$2:A$5001,MATCH(44,Data!$K$2:$K$5001,0)),"")</f>
        <v/>
      </c>
      <c r="B51" s="13" t="str">
        <f aca="false">IFERROR(INDEX(Data!B$2:B$5001,MATCH(44,Data!$K$2:$K$5001,0)),"")</f>
        <v/>
      </c>
      <c r="C51" s="13" t="str">
        <f aca="false">IFERROR(INDEX(Data!C$2:C$5001,MATCH(44,Data!$K$2:$K$5001,0)),"")</f>
        <v/>
      </c>
      <c r="D51" s="14" t="str">
        <f aca="false">IFERROR(INDEX(Data!D$2:D$5001,MATCH(44,Data!$K$2:$K$5001,0)),"")</f>
        <v/>
      </c>
      <c r="E51" s="13" t="str">
        <f aca="false">IFERROR(INDEX(Data!E$2:E$5001,MATCH(44,Data!$K$2:$K$5001,0)),"")</f>
        <v/>
      </c>
      <c r="F51" s="15" t="str">
        <f aca="false">IFERROR(INDEX(Data!F$2:F$5001,MATCH(44,Data!$K$2:$K$5001,0)),"")</f>
        <v/>
      </c>
      <c r="G51" s="13" t="str">
        <f aca="false">IFERROR(INDEX(Data!G$2:G$5001,MATCH(44,Data!$K$2:$K$5001,0)),"")</f>
        <v/>
      </c>
      <c r="H51" s="16" t="str">
        <f aca="false">IFERROR(INDEX(Data!H$2:H$5001,MATCH(44,Data!$K$2:$K$5001,0)),"")</f>
        <v/>
      </c>
    </row>
    <row r="52" customFormat="false" ht="15" hidden="false" customHeight="false" outlineLevel="0" collapsed="false">
      <c r="A52" s="7" t="str">
        <f aca="false">IFERROR(INDEX(Data!A$2:A$5001,MATCH(45,Data!$K$2:$K$5001,0)),"")</f>
        <v/>
      </c>
      <c r="B52" s="8" t="str">
        <f aca="false">IFERROR(INDEX(Data!B$2:B$5001,MATCH(45,Data!$K$2:$K$5001,0)),"")</f>
        <v/>
      </c>
      <c r="C52" s="8" t="str">
        <f aca="false">IFERROR(INDEX(Data!C$2:C$5001,MATCH(45,Data!$K$2:$K$5001,0)),"")</f>
        <v/>
      </c>
      <c r="D52" s="9" t="str">
        <f aca="false">IFERROR(INDEX(Data!D$2:D$5001,MATCH(45,Data!$K$2:$K$5001,0)),"")</f>
        <v/>
      </c>
      <c r="E52" s="8" t="str">
        <f aca="false">IFERROR(INDEX(Data!E$2:E$5001,MATCH(45,Data!$K$2:$K$5001,0)),"")</f>
        <v/>
      </c>
      <c r="F52" s="10" t="str">
        <f aca="false">IFERROR(INDEX(Data!F$2:F$5001,MATCH(45,Data!$K$2:$K$5001,0)),"")</f>
        <v/>
      </c>
      <c r="G52" s="8" t="str">
        <f aca="false">IFERROR(INDEX(Data!G$2:G$5001,MATCH(45,Data!$K$2:$K$5001,0)),"")</f>
        <v/>
      </c>
      <c r="H52" s="11" t="str">
        <f aca="false">IFERROR(INDEX(Data!H$2:H$5001,MATCH(45,Data!$K$2:$K$5001,0)),"")</f>
        <v/>
      </c>
    </row>
    <row r="53" customFormat="false" ht="15" hidden="false" customHeight="false" outlineLevel="0" collapsed="false">
      <c r="A53" s="12" t="str">
        <f aca="false">IFERROR(INDEX(Data!A$2:A$5001,MATCH(46,Data!$K$2:$K$5001,0)),"")</f>
        <v/>
      </c>
      <c r="B53" s="13" t="str">
        <f aca="false">IFERROR(INDEX(Data!B$2:B$5001,MATCH(46,Data!$K$2:$K$5001,0)),"")</f>
        <v/>
      </c>
      <c r="C53" s="13" t="str">
        <f aca="false">IFERROR(INDEX(Data!C$2:C$5001,MATCH(46,Data!$K$2:$K$5001,0)),"")</f>
        <v/>
      </c>
      <c r="D53" s="14" t="str">
        <f aca="false">IFERROR(INDEX(Data!D$2:D$5001,MATCH(46,Data!$K$2:$K$5001,0)),"")</f>
        <v/>
      </c>
      <c r="E53" s="13" t="str">
        <f aca="false">IFERROR(INDEX(Data!E$2:E$5001,MATCH(46,Data!$K$2:$K$5001,0)),"")</f>
        <v/>
      </c>
      <c r="F53" s="15" t="str">
        <f aca="false">IFERROR(INDEX(Data!F$2:F$5001,MATCH(46,Data!$K$2:$K$5001,0)),"")</f>
        <v/>
      </c>
      <c r="G53" s="13" t="str">
        <f aca="false">IFERROR(INDEX(Data!G$2:G$5001,MATCH(46,Data!$K$2:$K$5001,0)),"")</f>
        <v/>
      </c>
      <c r="H53" s="16" t="str">
        <f aca="false">IFERROR(INDEX(Data!H$2:H$5001,MATCH(46,Data!$K$2:$K$5001,0)),"")</f>
        <v/>
      </c>
    </row>
    <row r="54" customFormat="false" ht="15" hidden="false" customHeight="false" outlineLevel="0" collapsed="false">
      <c r="A54" s="7" t="str">
        <f aca="false">IFERROR(INDEX(Data!A$2:A$5001,MATCH(47,Data!$K$2:$K$5001,0)),"")</f>
        <v/>
      </c>
      <c r="B54" s="8" t="str">
        <f aca="false">IFERROR(INDEX(Data!B$2:B$5001,MATCH(47,Data!$K$2:$K$5001,0)),"")</f>
        <v/>
      </c>
      <c r="C54" s="8" t="str">
        <f aca="false">IFERROR(INDEX(Data!C$2:C$5001,MATCH(47,Data!$K$2:$K$5001,0)),"")</f>
        <v/>
      </c>
      <c r="D54" s="9" t="str">
        <f aca="false">IFERROR(INDEX(Data!D$2:D$5001,MATCH(47,Data!$K$2:$K$5001,0)),"")</f>
        <v/>
      </c>
      <c r="E54" s="8" t="str">
        <f aca="false">IFERROR(INDEX(Data!E$2:E$5001,MATCH(47,Data!$K$2:$K$5001,0)),"")</f>
        <v/>
      </c>
      <c r="F54" s="10" t="str">
        <f aca="false">IFERROR(INDEX(Data!F$2:F$5001,MATCH(47,Data!$K$2:$K$5001,0)),"")</f>
        <v/>
      </c>
      <c r="G54" s="8" t="str">
        <f aca="false">IFERROR(INDEX(Data!G$2:G$5001,MATCH(47,Data!$K$2:$K$5001,0)),"")</f>
        <v/>
      </c>
      <c r="H54" s="11" t="str">
        <f aca="false">IFERROR(INDEX(Data!H$2:H$5001,MATCH(47,Data!$K$2:$K$5001,0)),"")</f>
        <v/>
      </c>
    </row>
    <row r="55" customFormat="false" ht="15" hidden="false" customHeight="false" outlineLevel="0" collapsed="false">
      <c r="A55" s="12" t="str">
        <f aca="false">IFERROR(INDEX(Data!A$2:A$5001,MATCH(48,Data!$K$2:$K$5001,0)),"")</f>
        <v/>
      </c>
      <c r="B55" s="13" t="str">
        <f aca="false">IFERROR(INDEX(Data!B$2:B$5001,MATCH(48,Data!$K$2:$K$5001,0)),"")</f>
        <v/>
      </c>
      <c r="C55" s="13" t="str">
        <f aca="false">IFERROR(INDEX(Data!C$2:C$5001,MATCH(48,Data!$K$2:$K$5001,0)),"")</f>
        <v/>
      </c>
      <c r="D55" s="14" t="str">
        <f aca="false">IFERROR(INDEX(Data!D$2:D$5001,MATCH(48,Data!$K$2:$K$5001,0)),"")</f>
        <v/>
      </c>
      <c r="E55" s="13" t="str">
        <f aca="false">IFERROR(INDEX(Data!E$2:E$5001,MATCH(48,Data!$K$2:$K$5001,0)),"")</f>
        <v/>
      </c>
      <c r="F55" s="15" t="str">
        <f aca="false">IFERROR(INDEX(Data!F$2:F$5001,MATCH(48,Data!$K$2:$K$5001,0)),"")</f>
        <v/>
      </c>
      <c r="G55" s="13" t="str">
        <f aca="false">IFERROR(INDEX(Data!G$2:G$5001,MATCH(48,Data!$K$2:$K$5001,0)),"")</f>
        <v/>
      </c>
      <c r="H55" s="16" t="str">
        <f aca="false">IFERROR(INDEX(Data!H$2:H$5001,MATCH(48,Data!$K$2:$K$5001,0)),"")</f>
        <v/>
      </c>
    </row>
    <row r="56" customFormat="false" ht="15" hidden="false" customHeight="false" outlineLevel="0" collapsed="false">
      <c r="A56" s="7" t="str">
        <f aca="false">IFERROR(INDEX(Data!A$2:A$5001,MATCH(49,Data!$K$2:$K$5001,0)),"")</f>
        <v/>
      </c>
      <c r="B56" s="8" t="str">
        <f aca="false">IFERROR(INDEX(Data!B$2:B$5001,MATCH(49,Data!$K$2:$K$5001,0)),"")</f>
        <v/>
      </c>
      <c r="C56" s="8" t="str">
        <f aca="false">IFERROR(INDEX(Data!C$2:C$5001,MATCH(49,Data!$K$2:$K$5001,0)),"")</f>
        <v/>
      </c>
      <c r="D56" s="9" t="str">
        <f aca="false">IFERROR(INDEX(Data!D$2:D$5001,MATCH(49,Data!$K$2:$K$5001,0)),"")</f>
        <v/>
      </c>
      <c r="E56" s="8" t="str">
        <f aca="false">IFERROR(INDEX(Data!E$2:E$5001,MATCH(49,Data!$K$2:$K$5001,0)),"")</f>
        <v/>
      </c>
      <c r="F56" s="10" t="str">
        <f aca="false">IFERROR(INDEX(Data!F$2:F$5001,MATCH(49,Data!$K$2:$K$5001,0)),"")</f>
        <v/>
      </c>
      <c r="G56" s="8" t="str">
        <f aca="false">IFERROR(INDEX(Data!G$2:G$5001,MATCH(49,Data!$K$2:$K$5001,0)),"")</f>
        <v/>
      </c>
      <c r="H56" s="11" t="str">
        <f aca="false">IFERROR(INDEX(Data!H$2:H$5001,MATCH(49,Data!$K$2:$K$5001,0)),"")</f>
        <v/>
      </c>
    </row>
    <row r="57" customFormat="false" ht="15" hidden="false" customHeight="false" outlineLevel="0" collapsed="false">
      <c r="A57" s="12" t="str">
        <f aca="false">IFERROR(INDEX(Data!A$2:A$5001,MATCH(50,Data!$K$2:$K$5001,0)),"")</f>
        <v/>
      </c>
      <c r="B57" s="13" t="str">
        <f aca="false">IFERROR(INDEX(Data!B$2:B$5001,MATCH(50,Data!$K$2:$K$5001,0)),"")</f>
        <v/>
      </c>
      <c r="C57" s="13" t="str">
        <f aca="false">IFERROR(INDEX(Data!C$2:C$5001,MATCH(50,Data!$K$2:$K$5001,0)),"")</f>
        <v/>
      </c>
      <c r="D57" s="14" t="str">
        <f aca="false">IFERROR(INDEX(Data!D$2:D$5001,MATCH(50,Data!$K$2:$K$5001,0)),"")</f>
        <v/>
      </c>
      <c r="E57" s="13" t="str">
        <f aca="false">IFERROR(INDEX(Data!E$2:E$5001,MATCH(50,Data!$K$2:$K$5001,0)),"")</f>
        <v/>
      </c>
      <c r="F57" s="15" t="str">
        <f aca="false">IFERROR(INDEX(Data!F$2:F$5001,MATCH(50,Data!$K$2:$K$5001,0)),"")</f>
        <v/>
      </c>
      <c r="G57" s="13" t="str">
        <f aca="false">IFERROR(INDEX(Data!G$2:G$5001,MATCH(50,Data!$K$2:$K$5001,0)),"")</f>
        <v/>
      </c>
      <c r="H57" s="16" t="str">
        <f aca="false">IFERROR(INDEX(Data!H$2:H$5001,MATCH(50,Data!$K$2:$K$5001,0)),"")</f>
        <v/>
      </c>
    </row>
    <row r="58" customFormat="false" ht="15" hidden="false" customHeight="false" outlineLevel="0" collapsed="false">
      <c r="A58" s="7" t="str">
        <f aca="false">IFERROR(INDEX(Data!A$2:A$5001,MATCH(51,Data!$K$2:$K$5001,0)),"")</f>
        <v/>
      </c>
      <c r="B58" s="8" t="str">
        <f aca="false">IFERROR(INDEX(Data!B$2:B$5001,MATCH(51,Data!$K$2:$K$5001,0)),"")</f>
        <v/>
      </c>
      <c r="C58" s="8" t="str">
        <f aca="false">IFERROR(INDEX(Data!C$2:C$5001,MATCH(51,Data!$K$2:$K$5001,0)),"")</f>
        <v/>
      </c>
      <c r="D58" s="9" t="str">
        <f aca="false">IFERROR(INDEX(Data!D$2:D$5001,MATCH(51,Data!$K$2:$K$5001,0)),"")</f>
        <v/>
      </c>
      <c r="E58" s="8" t="str">
        <f aca="false">IFERROR(INDEX(Data!E$2:E$5001,MATCH(51,Data!$K$2:$K$5001,0)),"")</f>
        <v/>
      </c>
      <c r="F58" s="10" t="str">
        <f aca="false">IFERROR(INDEX(Data!F$2:F$5001,MATCH(51,Data!$K$2:$K$5001,0)),"")</f>
        <v/>
      </c>
      <c r="G58" s="8" t="str">
        <f aca="false">IFERROR(INDEX(Data!G$2:G$5001,MATCH(51,Data!$K$2:$K$5001,0)),"")</f>
        <v/>
      </c>
      <c r="H58" s="11" t="str">
        <f aca="false">IFERROR(INDEX(Data!H$2:H$5001,MATCH(51,Data!$K$2:$K$5001,0)),"")</f>
        <v/>
      </c>
    </row>
    <row r="59" customFormat="false" ht="15" hidden="false" customHeight="false" outlineLevel="0" collapsed="false">
      <c r="A59" s="12" t="str">
        <f aca="false">IFERROR(INDEX(Data!A$2:A$5001,MATCH(52,Data!$K$2:$K$5001,0)),"")</f>
        <v/>
      </c>
      <c r="B59" s="13" t="str">
        <f aca="false">IFERROR(INDEX(Data!B$2:B$5001,MATCH(52,Data!$K$2:$K$5001,0)),"")</f>
        <v/>
      </c>
      <c r="C59" s="13" t="str">
        <f aca="false">IFERROR(INDEX(Data!C$2:C$5001,MATCH(52,Data!$K$2:$K$5001,0)),"")</f>
        <v/>
      </c>
      <c r="D59" s="14" t="str">
        <f aca="false">IFERROR(INDEX(Data!D$2:D$5001,MATCH(52,Data!$K$2:$K$5001,0)),"")</f>
        <v/>
      </c>
      <c r="E59" s="13" t="str">
        <f aca="false">IFERROR(INDEX(Data!E$2:E$5001,MATCH(52,Data!$K$2:$K$5001,0)),"")</f>
        <v/>
      </c>
      <c r="F59" s="15" t="str">
        <f aca="false">IFERROR(INDEX(Data!F$2:F$5001,MATCH(52,Data!$K$2:$K$5001,0)),"")</f>
        <v/>
      </c>
      <c r="G59" s="13" t="str">
        <f aca="false">IFERROR(INDEX(Data!G$2:G$5001,MATCH(52,Data!$K$2:$K$5001,0)),"")</f>
        <v/>
      </c>
      <c r="H59" s="16" t="str">
        <f aca="false">IFERROR(INDEX(Data!H$2:H$5001,MATCH(52,Data!$K$2:$K$5001,0)),"")</f>
        <v/>
      </c>
    </row>
    <row r="60" customFormat="false" ht="15" hidden="false" customHeight="false" outlineLevel="0" collapsed="false">
      <c r="A60" s="7" t="str">
        <f aca="false">IFERROR(INDEX(Data!A$2:A$5001,MATCH(53,Data!$K$2:$K$5001,0)),"")</f>
        <v/>
      </c>
      <c r="B60" s="8" t="str">
        <f aca="false">IFERROR(INDEX(Data!B$2:B$5001,MATCH(53,Data!$K$2:$K$5001,0)),"")</f>
        <v/>
      </c>
      <c r="C60" s="8" t="str">
        <f aca="false">IFERROR(INDEX(Data!C$2:C$5001,MATCH(53,Data!$K$2:$K$5001,0)),"")</f>
        <v/>
      </c>
      <c r="D60" s="9" t="str">
        <f aca="false">IFERROR(INDEX(Data!D$2:D$5001,MATCH(53,Data!$K$2:$K$5001,0)),"")</f>
        <v/>
      </c>
      <c r="E60" s="8" t="str">
        <f aca="false">IFERROR(INDEX(Data!E$2:E$5001,MATCH(53,Data!$K$2:$K$5001,0)),"")</f>
        <v/>
      </c>
      <c r="F60" s="10" t="str">
        <f aca="false">IFERROR(INDEX(Data!F$2:F$5001,MATCH(53,Data!$K$2:$K$5001,0)),"")</f>
        <v/>
      </c>
      <c r="G60" s="8" t="str">
        <f aca="false">IFERROR(INDEX(Data!G$2:G$5001,MATCH(53,Data!$K$2:$K$5001,0)),"")</f>
        <v/>
      </c>
      <c r="H60" s="11" t="str">
        <f aca="false">IFERROR(INDEX(Data!H$2:H$5001,MATCH(53,Data!$K$2:$K$5001,0)),"")</f>
        <v/>
      </c>
    </row>
    <row r="61" customFormat="false" ht="15" hidden="false" customHeight="false" outlineLevel="0" collapsed="false">
      <c r="A61" s="12" t="str">
        <f aca="false">IFERROR(INDEX(Data!A$2:A$5001,MATCH(54,Data!$K$2:$K$5001,0)),"")</f>
        <v/>
      </c>
      <c r="B61" s="13" t="str">
        <f aca="false">IFERROR(INDEX(Data!B$2:B$5001,MATCH(54,Data!$K$2:$K$5001,0)),"")</f>
        <v/>
      </c>
      <c r="C61" s="13" t="str">
        <f aca="false">IFERROR(INDEX(Data!C$2:C$5001,MATCH(54,Data!$K$2:$K$5001,0)),"")</f>
        <v/>
      </c>
      <c r="D61" s="14" t="str">
        <f aca="false">IFERROR(INDEX(Data!D$2:D$5001,MATCH(54,Data!$K$2:$K$5001,0)),"")</f>
        <v/>
      </c>
      <c r="E61" s="13" t="str">
        <f aca="false">IFERROR(INDEX(Data!E$2:E$5001,MATCH(54,Data!$K$2:$K$5001,0)),"")</f>
        <v/>
      </c>
      <c r="F61" s="15" t="str">
        <f aca="false">IFERROR(INDEX(Data!F$2:F$5001,MATCH(54,Data!$K$2:$K$5001,0)),"")</f>
        <v/>
      </c>
      <c r="G61" s="13" t="str">
        <f aca="false">IFERROR(INDEX(Data!G$2:G$5001,MATCH(54,Data!$K$2:$K$5001,0)),"")</f>
        <v/>
      </c>
      <c r="H61" s="16" t="str">
        <f aca="false">IFERROR(INDEX(Data!H$2:H$5001,MATCH(54,Data!$K$2:$K$5001,0)),"")</f>
        <v/>
      </c>
    </row>
    <row r="62" customFormat="false" ht="15" hidden="false" customHeight="false" outlineLevel="0" collapsed="false">
      <c r="A62" s="7" t="str">
        <f aca="false">IFERROR(INDEX(Data!A$2:A$5001,MATCH(55,Data!$K$2:$K$5001,0)),"")</f>
        <v/>
      </c>
      <c r="B62" s="8" t="str">
        <f aca="false">IFERROR(INDEX(Data!B$2:B$5001,MATCH(55,Data!$K$2:$K$5001,0)),"")</f>
        <v/>
      </c>
      <c r="C62" s="8" t="str">
        <f aca="false">IFERROR(INDEX(Data!C$2:C$5001,MATCH(55,Data!$K$2:$K$5001,0)),"")</f>
        <v/>
      </c>
      <c r="D62" s="9" t="str">
        <f aca="false">IFERROR(INDEX(Data!D$2:D$5001,MATCH(55,Data!$K$2:$K$5001,0)),"")</f>
        <v/>
      </c>
      <c r="E62" s="8" t="str">
        <f aca="false">IFERROR(INDEX(Data!E$2:E$5001,MATCH(55,Data!$K$2:$K$5001,0)),"")</f>
        <v/>
      </c>
      <c r="F62" s="10" t="str">
        <f aca="false">IFERROR(INDEX(Data!F$2:F$5001,MATCH(55,Data!$K$2:$K$5001,0)),"")</f>
        <v/>
      </c>
      <c r="G62" s="8" t="str">
        <f aca="false">IFERROR(INDEX(Data!G$2:G$5001,MATCH(55,Data!$K$2:$K$5001,0)),"")</f>
        <v/>
      </c>
      <c r="H62" s="11" t="str">
        <f aca="false">IFERROR(INDEX(Data!H$2:H$5001,MATCH(55,Data!$K$2:$K$5001,0)),"")</f>
        <v/>
      </c>
    </row>
    <row r="63" customFormat="false" ht="15" hidden="false" customHeight="false" outlineLevel="0" collapsed="false">
      <c r="A63" s="12" t="str">
        <f aca="false">IFERROR(INDEX(Data!A$2:A$5001,MATCH(56,Data!$K$2:$K$5001,0)),"")</f>
        <v/>
      </c>
      <c r="B63" s="13" t="str">
        <f aca="false">IFERROR(INDEX(Data!B$2:B$5001,MATCH(56,Data!$K$2:$K$5001,0)),"")</f>
        <v/>
      </c>
      <c r="C63" s="13" t="str">
        <f aca="false">IFERROR(INDEX(Data!C$2:C$5001,MATCH(56,Data!$K$2:$K$5001,0)),"")</f>
        <v/>
      </c>
      <c r="D63" s="14" t="str">
        <f aca="false">IFERROR(INDEX(Data!D$2:D$5001,MATCH(56,Data!$K$2:$K$5001,0)),"")</f>
        <v/>
      </c>
      <c r="E63" s="13" t="str">
        <f aca="false">IFERROR(INDEX(Data!E$2:E$5001,MATCH(56,Data!$K$2:$K$5001,0)),"")</f>
        <v/>
      </c>
      <c r="F63" s="15" t="str">
        <f aca="false">IFERROR(INDEX(Data!F$2:F$5001,MATCH(56,Data!$K$2:$K$5001,0)),"")</f>
        <v/>
      </c>
      <c r="G63" s="13" t="str">
        <f aca="false">IFERROR(INDEX(Data!G$2:G$5001,MATCH(56,Data!$K$2:$K$5001,0)),"")</f>
        <v/>
      </c>
      <c r="H63" s="16" t="str">
        <f aca="false">IFERROR(INDEX(Data!H$2:H$5001,MATCH(56,Data!$K$2:$K$5001,0)),"")</f>
        <v/>
      </c>
    </row>
    <row r="64" customFormat="false" ht="15" hidden="false" customHeight="false" outlineLevel="0" collapsed="false">
      <c r="A64" s="7" t="str">
        <f aca="false">IFERROR(INDEX(Data!A$2:A$5001,MATCH(57,Data!$K$2:$K$5001,0)),"")</f>
        <v/>
      </c>
      <c r="B64" s="8" t="str">
        <f aca="false">IFERROR(INDEX(Data!B$2:B$5001,MATCH(57,Data!$K$2:$K$5001,0)),"")</f>
        <v/>
      </c>
      <c r="C64" s="8" t="str">
        <f aca="false">IFERROR(INDEX(Data!C$2:C$5001,MATCH(57,Data!$K$2:$K$5001,0)),"")</f>
        <v/>
      </c>
      <c r="D64" s="9" t="str">
        <f aca="false">IFERROR(INDEX(Data!D$2:D$5001,MATCH(57,Data!$K$2:$K$5001,0)),"")</f>
        <v/>
      </c>
      <c r="E64" s="8" t="str">
        <f aca="false">IFERROR(INDEX(Data!E$2:E$5001,MATCH(57,Data!$K$2:$K$5001,0)),"")</f>
        <v/>
      </c>
      <c r="F64" s="10" t="str">
        <f aca="false">IFERROR(INDEX(Data!F$2:F$5001,MATCH(57,Data!$K$2:$K$5001,0)),"")</f>
        <v/>
      </c>
      <c r="G64" s="8" t="str">
        <f aca="false">IFERROR(INDEX(Data!G$2:G$5001,MATCH(57,Data!$K$2:$K$5001,0)),"")</f>
        <v/>
      </c>
      <c r="H64" s="11" t="str">
        <f aca="false">IFERROR(INDEX(Data!H$2:H$5001,MATCH(57,Data!$K$2:$K$5001,0)),"")</f>
        <v/>
      </c>
    </row>
    <row r="65" customFormat="false" ht="15" hidden="false" customHeight="false" outlineLevel="0" collapsed="false">
      <c r="A65" s="12" t="str">
        <f aca="false">IFERROR(INDEX(Data!A$2:A$5001,MATCH(58,Data!$K$2:$K$5001,0)),"")</f>
        <v/>
      </c>
      <c r="B65" s="13" t="str">
        <f aca="false">IFERROR(INDEX(Data!B$2:B$5001,MATCH(58,Data!$K$2:$K$5001,0)),"")</f>
        <v/>
      </c>
      <c r="C65" s="13" t="str">
        <f aca="false">IFERROR(INDEX(Data!C$2:C$5001,MATCH(58,Data!$K$2:$K$5001,0)),"")</f>
        <v/>
      </c>
      <c r="D65" s="14" t="str">
        <f aca="false">IFERROR(INDEX(Data!D$2:D$5001,MATCH(58,Data!$K$2:$K$5001,0)),"")</f>
        <v/>
      </c>
      <c r="E65" s="13" t="str">
        <f aca="false">IFERROR(INDEX(Data!E$2:E$5001,MATCH(58,Data!$K$2:$K$5001,0)),"")</f>
        <v/>
      </c>
      <c r="F65" s="15" t="str">
        <f aca="false">IFERROR(INDEX(Data!F$2:F$5001,MATCH(58,Data!$K$2:$K$5001,0)),"")</f>
        <v/>
      </c>
      <c r="G65" s="13" t="str">
        <f aca="false">IFERROR(INDEX(Data!G$2:G$5001,MATCH(58,Data!$K$2:$K$5001,0)),"")</f>
        <v/>
      </c>
      <c r="H65" s="16" t="str">
        <f aca="false">IFERROR(INDEX(Data!H$2:H$5001,MATCH(58,Data!$K$2:$K$5001,0)),"")</f>
        <v/>
      </c>
    </row>
    <row r="66" customFormat="false" ht="15" hidden="false" customHeight="false" outlineLevel="0" collapsed="false">
      <c r="A66" s="7" t="str">
        <f aca="false">IFERROR(INDEX(Data!A$2:A$5001,MATCH(59,Data!$K$2:$K$5001,0)),"")</f>
        <v/>
      </c>
      <c r="B66" s="8" t="str">
        <f aca="false">IFERROR(INDEX(Data!B$2:B$5001,MATCH(59,Data!$K$2:$K$5001,0)),"")</f>
        <v/>
      </c>
      <c r="C66" s="8" t="str">
        <f aca="false">IFERROR(INDEX(Data!C$2:C$5001,MATCH(59,Data!$K$2:$K$5001,0)),"")</f>
        <v/>
      </c>
      <c r="D66" s="9" t="str">
        <f aca="false">IFERROR(INDEX(Data!D$2:D$5001,MATCH(59,Data!$K$2:$K$5001,0)),"")</f>
        <v/>
      </c>
      <c r="E66" s="8" t="str">
        <f aca="false">IFERROR(INDEX(Data!E$2:E$5001,MATCH(59,Data!$K$2:$K$5001,0)),"")</f>
        <v/>
      </c>
      <c r="F66" s="10" t="str">
        <f aca="false">IFERROR(INDEX(Data!F$2:F$5001,MATCH(59,Data!$K$2:$K$5001,0)),"")</f>
        <v/>
      </c>
      <c r="G66" s="8" t="str">
        <f aca="false">IFERROR(INDEX(Data!G$2:G$5001,MATCH(59,Data!$K$2:$K$5001,0)),"")</f>
        <v/>
      </c>
      <c r="H66" s="11" t="str">
        <f aca="false">IFERROR(INDEX(Data!H$2:H$5001,MATCH(59,Data!$K$2:$K$5001,0)),"")</f>
        <v/>
      </c>
    </row>
    <row r="67" customFormat="false" ht="15" hidden="false" customHeight="false" outlineLevel="0" collapsed="false">
      <c r="A67" s="12" t="str">
        <f aca="false">IFERROR(INDEX(Data!A$2:A$5001,MATCH(60,Data!$K$2:$K$5001,0)),"")</f>
        <v/>
      </c>
      <c r="B67" s="13" t="str">
        <f aca="false">IFERROR(INDEX(Data!B$2:B$5001,MATCH(60,Data!$K$2:$K$5001,0)),"")</f>
        <v/>
      </c>
      <c r="C67" s="13" t="str">
        <f aca="false">IFERROR(INDEX(Data!C$2:C$5001,MATCH(60,Data!$K$2:$K$5001,0)),"")</f>
        <v/>
      </c>
      <c r="D67" s="14" t="str">
        <f aca="false">IFERROR(INDEX(Data!D$2:D$5001,MATCH(60,Data!$K$2:$K$5001,0)),"")</f>
        <v/>
      </c>
      <c r="E67" s="13" t="str">
        <f aca="false">IFERROR(INDEX(Data!E$2:E$5001,MATCH(60,Data!$K$2:$K$5001,0)),"")</f>
        <v/>
      </c>
      <c r="F67" s="15" t="str">
        <f aca="false">IFERROR(INDEX(Data!F$2:F$5001,MATCH(60,Data!$K$2:$K$5001,0)),"")</f>
        <v/>
      </c>
      <c r="G67" s="13" t="str">
        <f aca="false">IFERROR(INDEX(Data!G$2:G$5001,MATCH(60,Data!$K$2:$K$5001,0)),"")</f>
        <v/>
      </c>
      <c r="H67" s="16" t="str">
        <f aca="false">IFERROR(INDEX(Data!H$2:H$5001,MATCH(60,Data!$K$2:$K$5001,0)),"")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11" min="11" style="0" width="9"/>
  </cols>
  <sheetData>
    <row r="1" customFormat="false" ht="15" hidden="false" customHeight="false" outlineLevel="0" collapsed="false">
      <c r="A1" s="6" t="s">
        <v>3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10</v>
      </c>
      <c r="K1" s="17" t="s">
        <v>11</v>
      </c>
      <c r="L1" s="18" t="s">
        <v>12</v>
      </c>
    </row>
    <row r="2" customFormat="false" ht="15" hidden="false" customHeight="false" outlineLevel="0" collapsed="false">
      <c r="A2" s="19" t="s">
        <v>13</v>
      </c>
      <c r="B2" s="20" t="s">
        <v>14</v>
      </c>
      <c r="C2" s="20" t="s">
        <v>15</v>
      </c>
      <c r="D2" s="21" t="n">
        <v>27.47</v>
      </c>
      <c r="E2" s="20" t="s">
        <v>16</v>
      </c>
      <c r="F2" s="22" t="n">
        <v>46148</v>
      </c>
      <c r="G2" s="20" t="s">
        <v>17</v>
      </c>
      <c r="H2" s="23" t="n">
        <v>5672</v>
      </c>
      <c r="K2" s="24" t="n">
        <f aca="false">IF(Search!$B$3="",0,IF($A2="",N(K1),IF(ISNUMBER(SEARCH(Search!$B$3,$A2&amp;"")),N(K1)+1,N(K1))))</f>
        <v>0</v>
      </c>
    </row>
    <row r="3" customFormat="false" ht="15" hidden="false" customHeight="false" outlineLevel="0" collapsed="false">
      <c r="A3" s="19" t="s">
        <v>18</v>
      </c>
      <c r="B3" s="20" t="s">
        <v>19</v>
      </c>
      <c r="C3" s="20" t="s">
        <v>20</v>
      </c>
      <c r="D3" s="21" t="n">
        <v>24.93</v>
      </c>
      <c r="E3" s="20" t="s">
        <v>21</v>
      </c>
      <c r="F3" s="22" t="n">
        <v>46166</v>
      </c>
      <c r="G3" s="20" t="s">
        <v>17</v>
      </c>
      <c r="H3" s="23" t="n">
        <v>10322</v>
      </c>
      <c r="K3" s="24" t="n">
        <f aca="false">IF(Search!$B$3="",0,IF($A3="",N(K2),IF(ISNUMBER(SEARCH(Search!$B$3,$A3&amp;"")),N(K2)+1,N(K2))))</f>
        <v>0</v>
      </c>
    </row>
    <row r="4" customFormat="false" ht="15" hidden="false" customHeight="false" outlineLevel="0" collapsed="false">
      <c r="A4" s="19" t="s">
        <v>22</v>
      </c>
      <c r="B4" s="20" t="s">
        <v>23</v>
      </c>
      <c r="C4" s="20" t="s">
        <v>15</v>
      </c>
      <c r="D4" s="21" t="n">
        <v>9.53</v>
      </c>
      <c r="E4" s="20" t="s">
        <v>24</v>
      </c>
      <c r="F4" s="22" t="n">
        <v>46252</v>
      </c>
      <c r="G4" s="20" t="s">
        <v>25</v>
      </c>
      <c r="H4" s="23" t="n">
        <v>2142</v>
      </c>
      <c r="K4" s="24" t="n">
        <f aca="false">IF(Search!$B$3="",0,IF($A4="",N(K3),IF(ISNUMBER(SEARCH(Search!$B$3,$A4&amp;"")),N(K3)+1,N(K3))))</f>
        <v>0</v>
      </c>
    </row>
    <row r="5" customFormat="false" ht="15" hidden="false" customHeight="false" outlineLevel="0" collapsed="false">
      <c r="A5" s="19" t="s">
        <v>26</v>
      </c>
      <c r="B5" s="20" t="s">
        <v>27</v>
      </c>
      <c r="C5" s="20" t="s">
        <v>15</v>
      </c>
      <c r="D5" s="21" t="n">
        <v>21.78</v>
      </c>
      <c r="E5" s="20" t="s">
        <v>28</v>
      </c>
      <c r="F5" s="22" t="n">
        <v>46229</v>
      </c>
      <c r="G5" s="20" t="s">
        <v>29</v>
      </c>
      <c r="H5" s="23" t="n">
        <v>6569</v>
      </c>
      <c r="K5" s="24" t="n">
        <f aca="false">IF(Search!$B$3="",0,IF($A5="",N(K4),IF(ISNUMBER(SEARCH(Search!$B$3,$A5&amp;"")),N(K4)+1,N(K4))))</f>
        <v>0</v>
      </c>
    </row>
    <row r="6" customFormat="false" ht="15" hidden="false" customHeight="false" outlineLevel="0" collapsed="false">
      <c r="A6" s="19" t="s">
        <v>30</v>
      </c>
      <c r="B6" s="20" t="s">
        <v>31</v>
      </c>
      <c r="C6" s="20" t="s">
        <v>15</v>
      </c>
      <c r="D6" s="21" t="n">
        <v>4.53</v>
      </c>
      <c r="E6" s="20" t="s">
        <v>32</v>
      </c>
      <c r="F6" s="22" t="n">
        <v>46217</v>
      </c>
      <c r="G6" s="20" t="s">
        <v>33</v>
      </c>
      <c r="H6" s="23" t="n">
        <v>14305</v>
      </c>
      <c r="K6" s="24" t="n">
        <f aca="false">IF(Search!$B$3="",0,IF($A6="",N(K5),IF(ISNUMBER(SEARCH(Search!$B$3,$A6&amp;"")),N(K5)+1,N(K5))))</f>
        <v>0</v>
      </c>
    </row>
    <row r="7" customFormat="false" ht="15" hidden="false" customHeight="false" outlineLevel="0" collapsed="false">
      <c r="A7" s="19" t="s">
        <v>34</v>
      </c>
      <c r="B7" s="20" t="s">
        <v>27</v>
      </c>
      <c r="C7" s="20" t="s">
        <v>35</v>
      </c>
      <c r="D7" s="21" t="n">
        <v>9.67</v>
      </c>
      <c r="E7" s="20" t="s">
        <v>36</v>
      </c>
      <c r="F7" s="22" t="n">
        <v>46201</v>
      </c>
      <c r="G7" s="20" t="s">
        <v>33</v>
      </c>
      <c r="H7" s="23" t="n">
        <v>2488</v>
      </c>
      <c r="K7" s="24" t="n">
        <f aca="false">IF(Search!$B$3="",0,IF($A7="",N(K6),IF(ISNUMBER(SEARCH(Search!$B$3,$A7&amp;"")),N(K6)+1,N(K6))))</f>
        <v>0</v>
      </c>
    </row>
    <row r="8" customFormat="false" ht="15" hidden="false" customHeight="false" outlineLevel="0" collapsed="false">
      <c r="A8" s="19" t="s">
        <v>37</v>
      </c>
      <c r="B8" s="20" t="s">
        <v>23</v>
      </c>
      <c r="C8" s="20" t="s">
        <v>20</v>
      </c>
      <c r="D8" s="21" t="n">
        <v>11.89</v>
      </c>
      <c r="E8" s="20" t="s">
        <v>16</v>
      </c>
      <c r="F8" s="22" t="n">
        <v>46267</v>
      </c>
      <c r="G8" s="20" t="s">
        <v>29</v>
      </c>
      <c r="H8" s="23" t="n">
        <v>11079</v>
      </c>
      <c r="K8" s="24" t="n">
        <f aca="false">IF(Search!$B$3="",0,IF($A8="",N(K7),IF(ISNUMBER(SEARCH(Search!$B$3,$A8&amp;"")),N(K7)+1,N(K7))))</f>
        <v>0</v>
      </c>
    </row>
    <row r="9" customFormat="false" ht="15" hidden="false" customHeight="false" outlineLevel="0" collapsed="false">
      <c r="A9" s="19" t="s">
        <v>38</v>
      </c>
      <c r="B9" s="20" t="s">
        <v>19</v>
      </c>
      <c r="C9" s="20" t="s">
        <v>39</v>
      </c>
      <c r="D9" s="21" t="n">
        <v>5.93</v>
      </c>
      <c r="E9" s="20" t="s">
        <v>40</v>
      </c>
      <c r="F9" s="22" t="n">
        <v>46089</v>
      </c>
      <c r="G9" s="20" t="s">
        <v>17</v>
      </c>
      <c r="H9" s="23" t="n">
        <v>6259</v>
      </c>
      <c r="K9" s="24" t="n">
        <f aca="false">IF(Search!$B$3="",0,IF($A9="",N(K8),IF(ISNUMBER(SEARCH(Search!$B$3,$A9&amp;"")),N(K8)+1,N(K8))))</f>
        <v>0</v>
      </c>
    </row>
    <row r="10" customFormat="false" ht="15" hidden="false" customHeight="false" outlineLevel="0" collapsed="false">
      <c r="A10" s="19" t="s">
        <v>41</v>
      </c>
      <c r="B10" s="20" t="s">
        <v>23</v>
      </c>
      <c r="C10" s="20" t="s">
        <v>42</v>
      </c>
      <c r="D10" s="21" t="n">
        <v>15.59</v>
      </c>
      <c r="E10" s="20" t="s">
        <v>43</v>
      </c>
      <c r="F10" s="22" t="n">
        <v>46258</v>
      </c>
      <c r="G10" s="20" t="s">
        <v>44</v>
      </c>
      <c r="H10" s="23" t="n">
        <v>1887</v>
      </c>
      <c r="K10" s="24" t="n">
        <f aca="false">IF(Search!$B$3="",0,IF($A10="",N(K9),IF(ISNUMBER(SEARCH(Search!$B$3,$A10&amp;"")),N(K9)+1,N(K9))))</f>
        <v>0</v>
      </c>
    </row>
    <row r="11" customFormat="false" ht="15" hidden="false" customHeight="false" outlineLevel="0" collapsed="false">
      <c r="A11" s="19" t="s">
        <v>45</v>
      </c>
      <c r="B11" s="20" t="s">
        <v>31</v>
      </c>
      <c r="C11" s="20" t="s">
        <v>39</v>
      </c>
      <c r="D11" s="21" t="n">
        <v>24.17</v>
      </c>
      <c r="E11" s="20" t="s">
        <v>46</v>
      </c>
      <c r="F11" s="22" t="n">
        <v>46179</v>
      </c>
      <c r="G11" s="20" t="s">
        <v>29</v>
      </c>
      <c r="H11" s="23" t="n">
        <v>3843</v>
      </c>
      <c r="K11" s="24" t="n">
        <f aca="false">IF(Search!$B$3="",0,IF($A11="",N(K10),IF(ISNUMBER(SEARCH(Search!$B$3,$A11&amp;"")),N(K10)+1,N(K10))))</f>
        <v>0</v>
      </c>
    </row>
    <row r="12" customFormat="false" ht="15" hidden="false" customHeight="false" outlineLevel="0" collapsed="false">
      <c r="A12" s="19" t="s">
        <v>47</v>
      </c>
      <c r="B12" s="20" t="s">
        <v>48</v>
      </c>
      <c r="C12" s="20" t="s">
        <v>20</v>
      </c>
      <c r="D12" s="21" t="n">
        <v>9.54</v>
      </c>
      <c r="E12" s="20" t="s">
        <v>49</v>
      </c>
      <c r="F12" s="22" t="n">
        <v>46232</v>
      </c>
      <c r="G12" s="20" t="s">
        <v>25</v>
      </c>
      <c r="H12" s="23" t="n">
        <v>10825</v>
      </c>
      <c r="K12" s="24" t="n">
        <f aca="false">IF(Search!$B$3="",0,IF($A12="",N(K11),IF(ISNUMBER(SEARCH(Search!$B$3,$A12&amp;"")),N(K11)+1,N(K11))))</f>
        <v>0</v>
      </c>
    </row>
    <row r="13" customFormat="false" ht="15" hidden="false" customHeight="false" outlineLevel="0" collapsed="false">
      <c r="A13" s="19" t="s">
        <v>50</v>
      </c>
      <c r="B13" s="20" t="s">
        <v>19</v>
      </c>
      <c r="C13" s="20" t="s">
        <v>51</v>
      </c>
      <c r="D13" s="21" t="n">
        <v>17.78</v>
      </c>
      <c r="E13" s="20" t="s">
        <v>52</v>
      </c>
      <c r="F13" s="22" t="n">
        <v>46275</v>
      </c>
      <c r="G13" s="20" t="s">
        <v>25</v>
      </c>
      <c r="H13" s="23" t="n">
        <v>9068</v>
      </c>
      <c r="K13" s="24" t="n">
        <f aca="false">IF(Search!$B$3="",0,IF($A13="",N(K12),IF(ISNUMBER(SEARCH(Search!$B$3,$A13&amp;"")),N(K12)+1,N(K12))))</f>
        <v>0</v>
      </c>
    </row>
    <row r="14" customFormat="false" ht="15" hidden="false" customHeight="false" outlineLevel="0" collapsed="false">
      <c r="A14" s="19" t="s">
        <v>53</v>
      </c>
      <c r="B14" s="20" t="s">
        <v>54</v>
      </c>
      <c r="C14" s="20" t="s">
        <v>35</v>
      </c>
      <c r="D14" s="21" t="n">
        <v>23.13</v>
      </c>
      <c r="E14" s="20" t="s">
        <v>55</v>
      </c>
      <c r="F14" s="22" t="n">
        <v>46201</v>
      </c>
      <c r="G14" s="20" t="s">
        <v>33</v>
      </c>
      <c r="H14" s="23" t="n">
        <v>12431</v>
      </c>
      <c r="K14" s="24" t="n">
        <f aca="false">IF(Search!$B$3="",0,IF($A14="",N(K13),IF(ISNUMBER(SEARCH(Search!$B$3,$A14&amp;"")),N(K13)+1,N(K13))))</f>
        <v>0</v>
      </c>
    </row>
    <row r="15" customFormat="false" ht="15" hidden="false" customHeight="false" outlineLevel="0" collapsed="false">
      <c r="A15" s="19" t="s">
        <v>56</v>
      </c>
      <c r="B15" s="20" t="s">
        <v>57</v>
      </c>
      <c r="C15" s="20" t="s">
        <v>20</v>
      </c>
      <c r="D15" s="21" t="n">
        <v>24.58</v>
      </c>
      <c r="E15" s="20" t="s">
        <v>58</v>
      </c>
      <c r="F15" s="22" t="n">
        <v>46165</v>
      </c>
      <c r="G15" s="20" t="s">
        <v>29</v>
      </c>
      <c r="H15" s="23" t="n">
        <v>2033</v>
      </c>
      <c r="K15" s="24" t="n">
        <f aca="false">IF(Search!$B$3="",0,IF($A15="",N(K14),IF(ISNUMBER(SEARCH(Search!$B$3,$A15&amp;"")),N(K14)+1,N(K14))))</f>
        <v>0</v>
      </c>
    </row>
    <row r="16" customFormat="false" ht="15" hidden="false" customHeight="false" outlineLevel="0" collapsed="false">
      <c r="A16" s="19" t="s">
        <v>59</v>
      </c>
      <c r="B16" s="20" t="s">
        <v>23</v>
      </c>
      <c r="C16" s="20" t="s">
        <v>15</v>
      </c>
      <c r="D16" s="21" t="n">
        <v>11.04</v>
      </c>
      <c r="E16" s="20" t="s">
        <v>60</v>
      </c>
      <c r="F16" s="22" t="n">
        <v>46160</v>
      </c>
      <c r="G16" s="20" t="s">
        <v>29</v>
      </c>
      <c r="H16" s="23" t="n">
        <v>3468</v>
      </c>
      <c r="K16" s="24" t="n">
        <f aca="false">IF(Search!$B$3="",0,IF($A16="",N(K15),IF(ISNUMBER(SEARCH(Search!$B$3,$A16&amp;"")),N(K15)+1,N(K15))))</f>
        <v>0</v>
      </c>
    </row>
    <row r="17" customFormat="false" ht="15" hidden="false" customHeight="false" outlineLevel="0" collapsed="false">
      <c r="A17" s="19" t="s">
        <v>61</v>
      </c>
      <c r="B17" s="20" t="s">
        <v>54</v>
      </c>
      <c r="C17" s="20" t="s">
        <v>39</v>
      </c>
      <c r="D17" s="21" t="n">
        <v>21.27</v>
      </c>
      <c r="E17" s="20" t="s">
        <v>62</v>
      </c>
      <c r="F17" s="22" t="n">
        <v>46211</v>
      </c>
      <c r="G17" s="20" t="s">
        <v>63</v>
      </c>
      <c r="H17" s="23" t="n">
        <v>12265</v>
      </c>
      <c r="K17" s="24" t="n">
        <f aca="false">IF(Search!$B$3="",0,IF($A17="",N(K16),IF(ISNUMBER(SEARCH(Search!$B$3,$A17&amp;"")),N(K16)+1,N(K16))))</f>
        <v>0</v>
      </c>
    </row>
    <row r="18" customFormat="false" ht="15" hidden="false" customHeight="false" outlineLevel="0" collapsed="false">
      <c r="A18" s="19" t="s">
        <v>64</v>
      </c>
      <c r="B18" s="20" t="s">
        <v>14</v>
      </c>
      <c r="C18" s="20" t="s">
        <v>15</v>
      </c>
      <c r="D18" s="21" t="n">
        <v>10.78</v>
      </c>
      <c r="E18" s="20" t="s">
        <v>65</v>
      </c>
      <c r="F18" s="22" t="n">
        <v>46162</v>
      </c>
      <c r="G18" s="20" t="s">
        <v>17</v>
      </c>
      <c r="H18" s="23" t="n">
        <v>8975</v>
      </c>
      <c r="K18" s="24" t="n">
        <f aca="false">IF(Search!$B$3="",0,IF($A18="",N(K17),IF(ISNUMBER(SEARCH(Search!$B$3,$A18&amp;"")),N(K17)+1,N(K17))))</f>
        <v>0</v>
      </c>
    </row>
    <row r="19" customFormat="false" ht="15" hidden="false" customHeight="false" outlineLevel="0" collapsed="false">
      <c r="A19" s="19" t="s">
        <v>66</v>
      </c>
      <c r="B19" s="20" t="s">
        <v>14</v>
      </c>
      <c r="C19" s="20" t="s">
        <v>42</v>
      </c>
      <c r="D19" s="21" t="n">
        <v>23.41</v>
      </c>
      <c r="E19" s="20" t="s">
        <v>67</v>
      </c>
      <c r="F19" s="22" t="n">
        <v>46259</v>
      </c>
      <c r="G19" s="20" t="s">
        <v>17</v>
      </c>
      <c r="H19" s="23" t="n">
        <v>5646</v>
      </c>
      <c r="K19" s="24" t="n">
        <f aca="false">IF(Search!$B$3="",0,IF($A19="",N(K18),IF(ISNUMBER(SEARCH(Search!$B$3,$A19&amp;"")),N(K18)+1,N(K18))))</f>
        <v>0</v>
      </c>
    </row>
    <row r="20" customFormat="false" ht="15" hidden="false" customHeight="false" outlineLevel="0" collapsed="false">
      <c r="A20" s="19" t="s">
        <v>68</v>
      </c>
      <c r="B20" s="20" t="s">
        <v>48</v>
      </c>
      <c r="C20" s="20" t="s">
        <v>39</v>
      </c>
      <c r="D20" s="21" t="n">
        <v>9.23</v>
      </c>
      <c r="E20" s="20" t="s">
        <v>36</v>
      </c>
      <c r="F20" s="22" t="n">
        <v>46140</v>
      </c>
      <c r="G20" s="20" t="s">
        <v>29</v>
      </c>
      <c r="H20" s="23" t="n">
        <v>4210</v>
      </c>
      <c r="K20" s="24" t="n">
        <f aca="false">IF(Search!$B$3="",0,IF($A20="",N(K19),IF(ISNUMBER(SEARCH(Search!$B$3,$A20&amp;"")),N(K19)+1,N(K19))))</f>
        <v>0</v>
      </c>
    </row>
    <row r="21" customFormat="false" ht="15" hidden="false" customHeight="false" outlineLevel="0" collapsed="false">
      <c r="A21" s="19" t="s">
        <v>69</v>
      </c>
      <c r="B21" s="20" t="s">
        <v>57</v>
      </c>
      <c r="C21" s="20" t="s">
        <v>20</v>
      </c>
      <c r="D21" s="21" t="n">
        <v>7.03</v>
      </c>
      <c r="E21" s="20" t="s">
        <v>62</v>
      </c>
      <c r="F21" s="22" t="n">
        <v>46258</v>
      </c>
      <c r="G21" s="20" t="s">
        <v>33</v>
      </c>
      <c r="H21" s="23" t="n">
        <v>9257</v>
      </c>
      <c r="K21" s="24" t="n">
        <f aca="false">IF(Search!$B$3="",0,IF($A21="",N(K20),IF(ISNUMBER(SEARCH(Search!$B$3,$A21&amp;"")),N(K20)+1,N(K20))))</f>
        <v>0</v>
      </c>
    </row>
    <row r="22" customFormat="false" ht="15" hidden="false" customHeight="false" outlineLevel="0" collapsed="false">
      <c r="A22" s="19" t="s">
        <v>70</v>
      </c>
      <c r="B22" s="20" t="s">
        <v>54</v>
      </c>
      <c r="C22" s="20" t="s">
        <v>35</v>
      </c>
      <c r="D22" s="21" t="n">
        <v>26.57</v>
      </c>
      <c r="E22" s="20" t="s">
        <v>28</v>
      </c>
      <c r="F22" s="22" t="n">
        <v>46087</v>
      </c>
      <c r="G22" s="20" t="s">
        <v>44</v>
      </c>
      <c r="H22" s="23" t="n">
        <v>2774</v>
      </c>
      <c r="K22" s="24" t="n">
        <f aca="false">IF(Search!$B$3="",0,IF($A22="",N(K21),IF(ISNUMBER(SEARCH(Search!$B$3,$A22&amp;"")),N(K21)+1,N(K21))))</f>
        <v>0</v>
      </c>
    </row>
    <row r="23" customFormat="false" ht="15" hidden="false" customHeight="false" outlineLevel="0" collapsed="false">
      <c r="A23" s="19" t="s">
        <v>71</v>
      </c>
      <c r="B23" s="20" t="s">
        <v>54</v>
      </c>
      <c r="C23" s="20" t="s">
        <v>51</v>
      </c>
      <c r="D23" s="21" t="n">
        <v>15.95</v>
      </c>
      <c r="E23" s="20" t="s">
        <v>43</v>
      </c>
      <c r="F23" s="22" t="n">
        <v>46082</v>
      </c>
      <c r="G23" s="20" t="s">
        <v>33</v>
      </c>
      <c r="H23" s="23" t="n">
        <v>8583</v>
      </c>
      <c r="K23" s="24" t="n">
        <f aca="false">IF(Search!$B$3="",0,IF($A23="",N(K22),IF(ISNUMBER(SEARCH(Search!$B$3,$A23&amp;"")),N(K22)+1,N(K22))))</f>
        <v>0</v>
      </c>
    </row>
    <row r="24" customFormat="false" ht="15" hidden="false" customHeight="false" outlineLevel="0" collapsed="false">
      <c r="A24" s="19" t="s">
        <v>72</v>
      </c>
      <c r="B24" s="20" t="s">
        <v>19</v>
      </c>
      <c r="C24" s="20" t="s">
        <v>15</v>
      </c>
      <c r="D24" s="21" t="n">
        <v>6.76</v>
      </c>
      <c r="E24" s="20" t="s">
        <v>73</v>
      </c>
      <c r="F24" s="22" t="n">
        <v>46109</v>
      </c>
      <c r="G24" s="20" t="s">
        <v>63</v>
      </c>
      <c r="H24" s="23" t="n">
        <v>13278</v>
      </c>
      <c r="K24" s="24" t="n">
        <f aca="false">IF(Search!$B$3="",0,IF($A24="",N(K23),IF(ISNUMBER(SEARCH(Search!$B$3,$A24&amp;"")),N(K23)+1,N(K23))))</f>
        <v>0</v>
      </c>
    </row>
    <row r="25" customFormat="false" ht="15" hidden="false" customHeight="false" outlineLevel="0" collapsed="false">
      <c r="A25" s="19" t="s">
        <v>74</v>
      </c>
      <c r="B25" s="20" t="s">
        <v>57</v>
      </c>
      <c r="C25" s="20" t="s">
        <v>39</v>
      </c>
      <c r="D25" s="21" t="n">
        <v>10.04</v>
      </c>
      <c r="E25" s="20" t="s">
        <v>52</v>
      </c>
      <c r="F25" s="22" t="n">
        <v>46107</v>
      </c>
      <c r="G25" s="20" t="s">
        <v>17</v>
      </c>
      <c r="H25" s="23" t="n">
        <v>9126</v>
      </c>
      <c r="K25" s="24" t="n">
        <f aca="false">IF(Search!$B$3="",0,IF($A25="",N(K24),IF(ISNUMBER(SEARCH(Search!$B$3,$A25&amp;"")),N(K24)+1,N(K24))))</f>
        <v>0</v>
      </c>
    </row>
    <row r="26" customFormat="false" ht="15" hidden="false" customHeight="false" outlineLevel="0" collapsed="false">
      <c r="A26" s="19" t="s">
        <v>75</v>
      </c>
      <c r="B26" s="20" t="s">
        <v>23</v>
      </c>
      <c r="C26" s="20" t="s">
        <v>35</v>
      </c>
      <c r="D26" s="21" t="n">
        <v>17.91</v>
      </c>
      <c r="E26" s="20" t="s">
        <v>36</v>
      </c>
      <c r="F26" s="22" t="n">
        <v>46157</v>
      </c>
      <c r="G26" s="20" t="s">
        <v>63</v>
      </c>
      <c r="H26" s="23" t="n">
        <v>13374</v>
      </c>
      <c r="K26" s="24" t="n">
        <f aca="false">IF(Search!$B$3="",0,IF($A26="",N(K25),IF(ISNUMBER(SEARCH(Search!$B$3,$A26&amp;"")),N(K25)+1,N(K25))))</f>
        <v>0</v>
      </c>
    </row>
    <row r="27" customFormat="false" ht="15" hidden="false" customHeight="false" outlineLevel="0" collapsed="false">
      <c r="A27" s="19" t="s">
        <v>76</v>
      </c>
      <c r="B27" s="20" t="s">
        <v>19</v>
      </c>
      <c r="C27" s="20" t="s">
        <v>51</v>
      </c>
      <c r="D27" s="21" t="n">
        <v>24.92</v>
      </c>
      <c r="E27" s="20" t="s">
        <v>77</v>
      </c>
      <c r="F27" s="22" t="n">
        <v>46262</v>
      </c>
      <c r="G27" s="20" t="s">
        <v>29</v>
      </c>
      <c r="H27" s="23" t="n">
        <v>8248</v>
      </c>
      <c r="K27" s="24" t="n">
        <f aca="false">IF(Search!$B$3="",0,IF($A27="",N(K26),IF(ISNUMBER(SEARCH(Search!$B$3,$A27&amp;"")),N(K26)+1,N(K26))))</f>
        <v>0</v>
      </c>
    </row>
    <row r="28" customFormat="false" ht="15" hidden="false" customHeight="false" outlineLevel="0" collapsed="false">
      <c r="A28" s="19" t="s">
        <v>78</v>
      </c>
      <c r="B28" s="20" t="s">
        <v>31</v>
      </c>
      <c r="C28" s="20" t="s">
        <v>39</v>
      </c>
      <c r="D28" s="21" t="n">
        <v>15.24</v>
      </c>
      <c r="E28" s="20" t="s">
        <v>79</v>
      </c>
      <c r="F28" s="22" t="n">
        <v>46089</v>
      </c>
      <c r="G28" s="20" t="s">
        <v>17</v>
      </c>
      <c r="H28" s="23" t="n">
        <v>5231</v>
      </c>
      <c r="K28" s="24" t="n">
        <f aca="false">IF(Search!$B$3="",0,IF($A28="",N(K27),IF(ISNUMBER(SEARCH(Search!$B$3,$A28&amp;"")),N(K27)+1,N(K27))))</f>
        <v>0</v>
      </c>
    </row>
    <row r="29" customFormat="false" ht="15" hidden="false" customHeight="false" outlineLevel="0" collapsed="false">
      <c r="A29" s="19" t="s">
        <v>80</v>
      </c>
      <c r="B29" s="20" t="s">
        <v>48</v>
      </c>
      <c r="C29" s="20" t="s">
        <v>51</v>
      </c>
      <c r="D29" s="21" t="n">
        <v>21.74</v>
      </c>
      <c r="E29" s="20" t="s">
        <v>81</v>
      </c>
      <c r="F29" s="22" t="n">
        <v>46245</v>
      </c>
      <c r="G29" s="20" t="s">
        <v>29</v>
      </c>
      <c r="H29" s="23" t="n">
        <v>3749</v>
      </c>
      <c r="K29" s="24" t="n">
        <f aca="false">IF(Search!$B$3="",0,IF($A29="",N(K28),IF(ISNUMBER(SEARCH(Search!$B$3,$A29&amp;"")),N(K28)+1,N(K28))))</f>
        <v>0</v>
      </c>
    </row>
    <row r="30" customFormat="false" ht="15" hidden="false" customHeight="false" outlineLevel="0" collapsed="false">
      <c r="A30" s="19" t="s">
        <v>82</v>
      </c>
      <c r="B30" s="20" t="s">
        <v>48</v>
      </c>
      <c r="C30" s="20" t="s">
        <v>20</v>
      </c>
      <c r="D30" s="21" t="n">
        <v>13.62</v>
      </c>
      <c r="E30" s="20" t="s">
        <v>36</v>
      </c>
      <c r="F30" s="22" t="n">
        <v>46098</v>
      </c>
      <c r="G30" s="20" t="s">
        <v>33</v>
      </c>
      <c r="H30" s="23" t="n">
        <v>10370</v>
      </c>
      <c r="K30" s="24" t="n">
        <f aca="false">IF(Search!$B$3="",0,IF($A30="",N(K29),IF(ISNUMBER(SEARCH(Search!$B$3,$A30&amp;"")),N(K29)+1,N(K29))))</f>
        <v>0</v>
      </c>
    </row>
    <row r="31" customFormat="false" ht="15" hidden="false" customHeight="false" outlineLevel="0" collapsed="false">
      <c r="A31" s="19" t="s">
        <v>83</v>
      </c>
      <c r="B31" s="20" t="s">
        <v>57</v>
      </c>
      <c r="C31" s="20" t="s">
        <v>15</v>
      </c>
      <c r="D31" s="21" t="n">
        <v>15.64</v>
      </c>
      <c r="E31" s="20" t="s">
        <v>84</v>
      </c>
      <c r="F31" s="22" t="n">
        <v>46234</v>
      </c>
      <c r="G31" s="20" t="s">
        <v>44</v>
      </c>
      <c r="H31" s="23" t="n">
        <v>8652</v>
      </c>
      <c r="K31" s="24" t="n">
        <f aca="false">IF(Search!$B$3="",0,IF($A31="",N(K30),IF(ISNUMBER(SEARCH(Search!$B$3,$A31&amp;"")),N(K30)+1,N(K30))))</f>
        <v>0</v>
      </c>
    </row>
    <row r="32" customFormat="false" ht="15" hidden="false" customHeight="false" outlineLevel="0" collapsed="false">
      <c r="A32" s="19" t="s">
        <v>85</v>
      </c>
      <c r="B32" s="20" t="s">
        <v>23</v>
      </c>
      <c r="C32" s="20" t="s">
        <v>42</v>
      </c>
      <c r="D32" s="21" t="n">
        <v>25.38</v>
      </c>
      <c r="E32" s="20" t="s">
        <v>81</v>
      </c>
      <c r="F32" s="22" t="n">
        <v>46187</v>
      </c>
      <c r="G32" s="20" t="s">
        <v>17</v>
      </c>
      <c r="H32" s="23" t="n">
        <v>14234</v>
      </c>
      <c r="K32" s="24" t="n">
        <f aca="false">IF(Search!$B$3="",0,IF($A32="",N(K31),IF(ISNUMBER(SEARCH(Search!$B$3,$A32&amp;"")),N(K31)+1,N(K31))))</f>
        <v>0</v>
      </c>
    </row>
    <row r="33" customFormat="false" ht="15" hidden="false" customHeight="false" outlineLevel="0" collapsed="false">
      <c r="A33" s="19" t="s">
        <v>86</v>
      </c>
      <c r="B33" s="20" t="s">
        <v>27</v>
      </c>
      <c r="C33" s="20" t="s">
        <v>39</v>
      </c>
      <c r="D33" s="21" t="n">
        <v>23.8</v>
      </c>
      <c r="E33" s="20" t="s">
        <v>49</v>
      </c>
      <c r="F33" s="22" t="n">
        <v>46193</v>
      </c>
      <c r="G33" s="20" t="s">
        <v>44</v>
      </c>
      <c r="H33" s="23" t="n">
        <v>6697</v>
      </c>
      <c r="K33" s="24" t="n">
        <f aca="false">IF(Search!$B$3="",0,IF($A33="",N(K32),IF(ISNUMBER(SEARCH(Search!$B$3,$A33&amp;"")),N(K32)+1,N(K32))))</f>
        <v>0</v>
      </c>
    </row>
    <row r="34" customFormat="false" ht="15" hidden="false" customHeight="false" outlineLevel="0" collapsed="false">
      <c r="A34" s="19" t="s">
        <v>87</v>
      </c>
      <c r="B34" s="20" t="s">
        <v>31</v>
      </c>
      <c r="C34" s="20" t="s">
        <v>39</v>
      </c>
      <c r="D34" s="21" t="n">
        <v>15.03</v>
      </c>
      <c r="E34" s="20" t="s">
        <v>88</v>
      </c>
      <c r="F34" s="22" t="n">
        <v>46176</v>
      </c>
      <c r="G34" s="20" t="s">
        <v>33</v>
      </c>
      <c r="H34" s="23" t="n">
        <v>6257</v>
      </c>
      <c r="K34" s="24" t="n">
        <f aca="false">IF(Search!$B$3="",0,IF($A34="",N(K33),IF(ISNUMBER(SEARCH(Search!$B$3,$A34&amp;"")),N(K33)+1,N(K33))))</f>
        <v>0</v>
      </c>
    </row>
    <row r="35" customFormat="false" ht="15" hidden="false" customHeight="false" outlineLevel="0" collapsed="false">
      <c r="A35" s="19" t="s">
        <v>89</v>
      </c>
      <c r="B35" s="20" t="s">
        <v>27</v>
      </c>
      <c r="C35" s="20" t="s">
        <v>20</v>
      </c>
      <c r="D35" s="21" t="n">
        <v>14.01</v>
      </c>
      <c r="E35" s="20" t="s">
        <v>90</v>
      </c>
      <c r="F35" s="22" t="n">
        <v>46236</v>
      </c>
      <c r="G35" s="20" t="s">
        <v>63</v>
      </c>
      <c r="H35" s="23" t="n">
        <v>2391</v>
      </c>
      <c r="K35" s="24" t="n">
        <f aca="false">IF(Search!$B$3="",0,IF($A35="",N(K34),IF(ISNUMBER(SEARCH(Search!$B$3,$A35&amp;"")),N(K34)+1,N(K34))))</f>
        <v>0</v>
      </c>
    </row>
    <row r="36" customFormat="false" ht="15" hidden="false" customHeight="false" outlineLevel="0" collapsed="false">
      <c r="A36" s="19" t="s">
        <v>91</v>
      </c>
      <c r="B36" s="20" t="s">
        <v>23</v>
      </c>
      <c r="C36" s="20" t="s">
        <v>20</v>
      </c>
      <c r="D36" s="21" t="n">
        <v>25.05</v>
      </c>
      <c r="E36" s="20" t="s">
        <v>92</v>
      </c>
      <c r="F36" s="22" t="n">
        <v>46224</v>
      </c>
      <c r="G36" s="20" t="s">
        <v>29</v>
      </c>
      <c r="H36" s="23" t="n">
        <v>2175</v>
      </c>
      <c r="K36" s="24" t="n">
        <f aca="false">IF(Search!$B$3="",0,IF($A36="",N(K35),IF(ISNUMBER(SEARCH(Search!$B$3,$A36&amp;"")),N(K35)+1,N(K35))))</f>
        <v>0</v>
      </c>
    </row>
    <row r="37" customFormat="false" ht="15" hidden="false" customHeight="false" outlineLevel="0" collapsed="false">
      <c r="A37" s="19" t="s">
        <v>93</v>
      </c>
      <c r="B37" s="20" t="s">
        <v>14</v>
      </c>
      <c r="C37" s="20" t="s">
        <v>35</v>
      </c>
      <c r="D37" s="21" t="n">
        <v>15.11</v>
      </c>
      <c r="E37" s="20" t="s">
        <v>92</v>
      </c>
      <c r="F37" s="22" t="n">
        <v>46101</v>
      </c>
      <c r="G37" s="20" t="s">
        <v>29</v>
      </c>
      <c r="H37" s="23" t="n">
        <v>4689</v>
      </c>
      <c r="K37" s="24" t="n">
        <f aca="false">IF(Search!$B$3="",0,IF($A37="",N(K36),IF(ISNUMBER(SEARCH(Search!$B$3,$A37&amp;"")),N(K36)+1,N(K36))))</f>
        <v>0</v>
      </c>
    </row>
    <row r="38" customFormat="false" ht="15" hidden="false" customHeight="false" outlineLevel="0" collapsed="false">
      <c r="A38" s="19" t="s">
        <v>94</v>
      </c>
      <c r="B38" s="20" t="s">
        <v>54</v>
      </c>
      <c r="C38" s="20" t="s">
        <v>51</v>
      </c>
      <c r="D38" s="21" t="n">
        <v>25.74</v>
      </c>
      <c r="E38" s="20" t="s">
        <v>52</v>
      </c>
      <c r="F38" s="22" t="n">
        <v>46157</v>
      </c>
      <c r="G38" s="20" t="s">
        <v>17</v>
      </c>
      <c r="H38" s="23" t="n">
        <v>8832</v>
      </c>
      <c r="K38" s="24" t="n">
        <f aca="false">IF(Search!$B$3="",0,IF($A38="",N(K37),IF(ISNUMBER(SEARCH(Search!$B$3,$A38&amp;"")),N(K37)+1,N(K37))))</f>
        <v>0</v>
      </c>
    </row>
    <row r="39" customFormat="false" ht="15" hidden="false" customHeight="false" outlineLevel="0" collapsed="false">
      <c r="A39" s="19" t="s">
        <v>95</v>
      </c>
      <c r="B39" s="20" t="s">
        <v>31</v>
      </c>
      <c r="C39" s="20" t="s">
        <v>35</v>
      </c>
      <c r="D39" s="21" t="n">
        <v>9.99</v>
      </c>
      <c r="E39" s="20" t="s">
        <v>96</v>
      </c>
      <c r="F39" s="22" t="n">
        <v>46238</v>
      </c>
      <c r="G39" s="20" t="s">
        <v>17</v>
      </c>
      <c r="H39" s="23" t="n">
        <v>11200</v>
      </c>
      <c r="K39" s="24" t="n">
        <f aca="false">IF(Search!$B$3="",0,IF($A39="",N(K38),IF(ISNUMBER(SEARCH(Search!$B$3,$A39&amp;"")),N(K38)+1,N(K38))))</f>
        <v>0</v>
      </c>
    </row>
    <row r="40" customFormat="false" ht="15" hidden="false" customHeight="false" outlineLevel="0" collapsed="false">
      <c r="A40" s="19" t="s">
        <v>97</v>
      </c>
      <c r="B40" s="20" t="s">
        <v>31</v>
      </c>
      <c r="C40" s="20" t="s">
        <v>39</v>
      </c>
      <c r="D40" s="21" t="n">
        <v>5.31</v>
      </c>
      <c r="E40" s="20" t="s">
        <v>98</v>
      </c>
      <c r="F40" s="22" t="n">
        <v>46144</v>
      </c>
      <c r="G40" s="20" t="s">
        <v>63</v>
      </c>
      <c r="H40" s="23" t="n">
        <v>2887</v>
      </c>
      <c r="K40" s="24" t="n">
        <f aca="false">IF(Search!$B$3="",0,IF($A40="",N(K39),IF(ISNUMBER(SEARCH(Search!$B$3,$A40&amp;"")),N(K39)+1,N(K39))))</f>
        <v>0</v>
      </c>
    </row>
    <row r="41" customFormat="false" ht="15" hidden="false" customHeight="false" outlineLevel="0" collapsed="false">
      <c r="A41" s="19" t="s">
        <v>99</v>
      </c>
      <c r="B41" s="20" t="s">
        <v>54</v>
      </c>
      <c r="C41" s="20" t="s">
        <v>51</v>
      </c>
      <c r="D41" s="21" t="n">
        <v>14.4</v>
      </c>
      <c r="E41" s="20" t="s">
        <v>84</v>
      </c>
      <c r="F41" s="22" t="n">
        <v>46089</v>
      </c>
      <c r="G41" s="20" t="s">
        <v>33</v>
      </c>
      <c r="H41" s="23" t="n">
        <v>11315</v>
      </c>
      <c r="K41" s="24" t="n">
        <f aca="false">IF(Search!$B$3="",0,IF($A41="",N(K40),IF(ISNUMBER(SEARCH(Search!$B$3,$A41&amp;"")),N(K40)+1,N(K40))))</f>
        <v>0</v>
      </c>
    </row>
    <row r="42" customFormat="false" ht="15" hidden="false" customHeight="false" outlineLevel="0" collapsed="false">
      <c r="A42" s="19" t="s">
        <v>100</v>
      </c>
      <c r="B42" s="20" t="s">
        <v>48</v>
      </c>
      <c r="C42" s="20" t="s">
        <v>42</v>
      </c>
      <c r="D42" s="21" t="n">
        <v>7.51</v>
      </c>
      <c r="E42" s="20" t="s">
        <v>101</v>
      </c>
      <c r="F42" s="22" t="n">
        <v>46210</v>
      </c>
      <c r="G42" s="20" t="s">
        <v>63</v>
      </c>
      <c r="H42" s="23" t="n">
        <v>9831</v>
      </c>
      <c r="K42" s="24" t="n">
        <f aca="false">IF(Search!$B$3="",0,IF($A42="",N(K41),IF(ISNUMBER(SEARCH(Search!$B$3,$A42&amp;"")),N(K41)+1,N(K41))))</f>
        <v>0</v>
      </c>
    </row>
    <row r="43" customFormat="false" ht="15" hidden="false" customHeight="false" outlineLevel="0" collapsed="false">
      <c r="A43" s="19" t="s">
        <v>102</v>
      </c>
      <c r="B43" s="20" t="s">
        <v>27</v>
      </c>
      <c r="C43" s="20" t="s">
        <v>35</v>
      </c>
      <c r="D43" s="21" t="n">
        <v>25.43</v>
      </c>
      <c r="E43" s="20" t="s">
        <v>32</v>
      </c>
      <c r="F43" s="22" t="n">
        <v>46116</v>
      </c>
      <c r="G43" s="20" t="s">
        <v>44</v>
      </c>
      <c r="H43" s="23" t="n">
        <v>3335</v>
      </c>
      <c r="K43" s="24" t="n">
        <f aca="false">IF(Search!$B$3="",0,IF($A43="",N(K42),IF(ISNUMBER(SEARCH(Search!$B$3,$A43&amp;"")),N(K42)+1,N(K42))))</f>
        <v>0</v>
      </c>
    </row>
    <row r="44" customFormat="false" ht="15" hidden="false" customHeight="false" outlineLevel="0" collapsed="false">
      <c r="A44" s="19" t="s">
        <v>103</v>
      </c>
      <c r="B44" s="20" t="s">
        <v>23</v>
      </c>
      <c r="C44" s="20" t="s">
        <v>39</v>
      </c>
      <c r="D44" s="21" t="n">
        <v>10.36</v>
      </c>
      <c r="E44" s="20" t="s">
        <v>81</v>
      </c>
      <c r="F44" s="22" t="n">
        <v>46088</v>
      </c>
      <c r="G44" s="20" t="s">
        <v>29</v>
      </c>
      <c r="H44" s="23" t="n">
        <v>7734</v>
      </c>
      <c r="K44" s="24" t="n">
        <f aca="false">IF(Search!$B$3="",0,IF($A44="",N(K43),IF(ISNUMBER(SEARCH(Search!$B$3,$A44&amp;"")),N(K43)+1,N(K43))))</f>
        <v>0</v>
      </c>
    </row>
    <row r="45" customFormat="false" ht="15" hidden="false" customHeight="false" outlineLevel="0" collapsed="false">
      <c r="A45" s="19" t="s">
        <v>104</v>
      </c>
      <c r="B45" s="20" t="s">
        <v>27</v>
      </c>
      <c r="C45" s="20" t="s">
        <v>15</v>
      </c>
      <c r="D45" s="21" t="n">
        <v>7.98</v>
      </c>
      <c r="E45" s="20" t="s">
        <v>105</v>
      </c>
      <c r="F45" s="22" t="n">
        <v>46098</v>
      </c>
      <c r="G45" s="20" t="s">
        <v>25</v>
      </c>
      <c r="H45" s="23" t="n">
        <v>7591</v>
      </c>
      <c r="K45" s="24" t="n">
        <f aca="false">IF(Search!$B$3="",0,IF($A45="",N(K44),IF(ISNUMBER(SEARCH(Search!$B$3,$A45&amp;"")),N(K44)+1,N(K44))))</f>
        <v>0</v>
      </c>
    </row>
    <row r="46" customFormat="false" ht="15" hidden="false" customHeight="false" outlineLevel="0" collapsed="false">
      <c r="A46" s="19" t="s">
        <v>106</v>
      </c>
      <c r="B46" s="20" t="s">
        <v>48</v>
      </c>
      <c r="C46" s="20" t="s">
        <v>20</v>
      </c>
      <c r="D46" s="21" t="n">
        <v>27.65</v>
      </c>
      <c r="E46" s="20" t="s">
        <v>107</v>
      </c>
      <c r="F46" s="22" t="n">
        <v>46086</v>
      </c>
      <c r="G46" s="20" t="s">
        <v>17</v>
      </c>
      <c r="H46" s="23" t="n">
        <v>3399</v>
      </c>
      <c r="K46" s="24" t="n">
        <f aca="false">IF(Search!$B$3="",0,IF($A46="",N(K45),IF(ISNUMBER(SEARCH(Search!$B$3,$A46&amp;"")),N(K45)+1,N(K45))))</f>
        <v>0</v>
      </c>
    </row>
    <row r="47" customFormat="false" ht="15" hidden="false" customHeight="false" outlineLevel="0" collapsed="false">
      <c r="A47" s="19" t="s">
        <v>108</v>
      </c>
      <c r="B47" s="20" t="s">
        <v>31</v>
      </c>
      <c r="C47" s="20" t="s">
        <v>39</v>
      </c>
      <c r="D47" s="21" t="n">
        <v>17.7</v>
      </c>
      <c r="E47" s="20" t="s">
        <v>109</v>
      </c>
      <c r="F47" s="22" t="n">
        <v>46141</v>
      </c>
      <c r="G47" s="20" t="s">
        <v>17</v>
      </c>
      <c r="H47" s="23" t="n">
        <v>7178</v>
      </c>
      <c r="K47" s="24" t="n">
        <f aca="false">IF(Search!$B$3="",0,IF($A47="",N(K46),IF(ISNUMBER(SEARCH(Search!$B$3,$A47&amp;"")),N(K46)+1,N(K46))))</f>
        <v>0</v>
      </c>
    </row>
    <row r="48" customFormat="false" ht="15" hidden="false" customHeight="false" outlineLevel="0" collapsed="false">
      <c r="A48" s="19" t="s">
        <v>110</v>
      </c>
      <c r="B48" s="20" t="s">
        <v>14</v>
      </c>
      <c r="C48" s="20" t="s">
        <v>42</v>
      </c>
      <c r="D48" s="21" t="n">
        <v>18.9</v>
      </c>
      <c r="E48" s="20" t="s">
        <v>65</v>
      </c>
      <c r="F48" s="22" t="n">
        <v>46226</v>
      </c>
      <c r="G48" s="20" t="s">
        <v>29</v>
      </c>
      <c r="H48" s="23" t="n">
        <v>4843</v>
      </c>
      <c r="K48" s="24" t="n">
        <f aca="false">IF(Search!$B$3="",0,IF($A48="",N(K47),IF(ISNUMBER(SEARCH(Search!$B$3,$A48&amp;"")),N(K47)+1,N(K47))))</f>
        <v>0</v>
      </c>
    </row>
    <row r="49" customFormat="false" ht="15" hidden="false" customHeight="false" outlineLevel="0" collapsed="false">
      <c r="A49" s="19" t="s">
        <v>111</v>
      </c>
      <c r="B49" s="20" t="s">
        <v>54</v>
      </c>
      <c r="C49" s="20" t="s">
        <v>39</v>
      </c>
      <c r="D49" s="21" t="n">
        <v>8.69</v>
      </c>
      <c r="E49" s="20" t="s">
        <v>112</v>
      </c>
      <c r="F49" s="22" t="n">
        <v>46174</v>
      </c>
      <c r="G49" s="20" t="s">
        <v>17</v>
      </c>
      <c r="H49" s="23" t="n">
        <v>11806</v>
      </c>
      <c r="K49" s="24" t="n">
        <f aca="false">IF(Search!$B$3="",0,IF($A49="",N(K48),IF(ISNUMBER(SEARCH(Search!$B$3,$A49&amp;"")),N(K48)+1,N(K48))))</f>
        <v>0</v>
      </c>
    </row>
    <row r="50" customFormat="false" ht="15" hidden="false" customHeight="false" outlineLevel="0" collapsed="false">
      <c r="A50" s="19" t="s">
        <v>113</v>
      </c>
      <c r="B50" s="20" t="s">
        <v>23</v>
      </c>
      <c r="C50" s="20" t="s">
        <v>15</v>
      </c>
      <c r="D50" s="21" t="n">
        <v>20.24</v>
      </c>
      <c r="E50" s="20" t="s">
        <v>49</v>
      </c>
      <c r="F50" s="22" t="n">
        <v>46200</v>
      </c>
      <c r="G50" s="20" t="s">
        <v>63</v>
      </c>
      <c r="H50" s="23" t="n">
        <v>3005</v>
      </c>
      <c r="K50" s="24" t="n">
        <f aca="false">IF(Search!$B$3="",0,IF($A50="",N(K49),IF(ISNUMBER(SEARCH(Search!$B$3,$A50&amp;"")),N(K49)+1,N(K49))))</f>
        <v>0</v>
      </c>
    </row>
    <row r="51" customFormat="false" ht="15" hidden="false" customHeight="false" outlineLevel="0" collapsed="false">
      <c r="A51" s="19" t="s">
        <v>114</v>
      </c>
      <c r="B51" s="20" t="s">
        <v>31</v>
      </c>
      <c r="C51" s="20" t="s">
        <v>35</v>
      </c>
      <c r="D51" s="21" t="n">
        <v>19.58</v>
      </c>
      <c r="E51" s="20" t="s">
        <v>65</v>
      </c>
      <c r="F51" s="22" t="n">
        <v>46121</v>
      </c>
      <c r="G51" s="20" t="s">
        <v>25</v>
      </c>
      <c r="H51" s="23" t="n">
        <v>13306</v>
      </c>
      <c r="K51" s="24" t="n">
        <f aca="false">IF(Search!$B$3="",0,IF($A51="",N(K50),IF(ISNUMBER(SEARCH(Search!$B$3,$A51&amp;"")),N(K50)+1,N(K50))))</f>
        <v>0</v>
      </c>
    </row>
    <row r="52" customFormat="false" ht="15" hidden="false" customHeight="false" outlineLevel="0" collapsed="false">
      <c r="A52" s="19" t="s">
        <v>115</v>
      </c>
      <c r="B52" s="20" t="s">
        <v>19</v>
      </c>
      <c r="C52" s="20" t="s">
        <v>15</v>
      </c>
      <c r="D52" s="21" t="n">
        <v>10.63</v>
      </c>
      <c r="E52" s="20" t="s">
        <v>90</v>
      </c>
      <c r="F52" s="22" t="n">
        <v>46235</v>
      </c>
      <c r="G52" s="20" t="s">
        <v>33</v>
      </c>
      <c r="H52" s="23" t="n">
        <v>10019</v>
      </c>
      <c r="K52" s="24" t="n">
        <f aca="false">IF(Search!$B$3="",0,IF($A52="",N(K51),IF(ISNUMBER(SEARCH(Search!$B$3,$A52&amp;"")),N(K51)+1,N(K51))))</f>
        <v>0</v>
      </c>
    </row>
    <row r="53" customFormat="false" ht="15" hidden="false" customHeight="false" outlineLevel="0" collapsed="false">
      <c r="A53" s="19" t="s">
        <v>116</v>
      </c>
      <c r="B53" s="20" t="s">
        <v>19</v>
      </c>
      <c r="C53" s="20" t="s">
        <v>42</v>
      </c>
      <c r="D53" s="21" t="n">
        <v>22.92</v>
      </c>
      <c r="E53" s="20" t="s">
        <v>92</v>
      </c>
      <c r="F53" s="22" t="n">
        <v>46184</v>
      </c>
      <c r="G53" s="20" t="s">
        <v>17</v>
      </c>
      <c r="H53" s="23" t="n">
        <v>4706</v>
      </c>
      <c r="K53" s="24" t="n">
        <f aca="false">IF(Search!$B$3="",0,IF($A53="",N(K52),IF(ISNUMBER(SEARCH(Search!$B$3,$A53&amp;"")),N(K52)+1,N(K52))))</f>
        <v>0</v>
      </c>
    </row>
    <row r="54" customFormat="false" ht="15" hidden="false" customHeight="false" outlineLevel="0" collapsed="false">
      <c r="A54" s="19" t="s">
        <v>117</v>
      </c>
      <c r="B54" s="20" t="s">
        <v>31</v>
      </c>
      <c r="C54" s="20" t="s">
        <v>15</v>
      </c>
      <c r="D54" s="21" t="n">
        <v>7</v>
      </c>
      <c r="E54" s="20" t="s">
        <v>52</v>
      </c>
      <c r="F54" s="22" t="n">
        <v>46185</v>
      </c>
      <c r="G54" s="20" t="s">
        <v>33</v>
      </c>
      <c r="H54" s="23" t="n">
        <v>11420</v>
      </c>
      <c r="K54" s="24" t="n">
        <f aca="false">IF(Search!$B$3="",0,IF($A54="",N(K53),IF(ISNUMBER(SEARCH(Search!$B$3,$A54&amp;"")),N(K53)+1,N(K53))))</f>
        <v>0</v>
      </c>
    </row>
    <row r="55" customFormat="false" ht="15" hidden="false" customHeight="false" outlineLevel="0" collapsed="false">
      <c r="A55" s="19" t="s">
        <v>118</v>
      </c>
      <c r="B55" s="20" t="s">
        <v>31</v>
      </c>
      <c r="C55" s="20" t="s">
        <v>15</v>
      </c>
      <c r="D55" s="21" t="n">
        <v>4.52</v>
      </c>
      <c r="E55" s="20" t="s">
        <v>119</v>
      </c>
      <c r="F55" s="22" t="n">
        <v>46152</v>
      </c>
      <c r="G55" s="20" t="s">
        <v>63</v>
      </c>
      <c r="H55" s="23" t="n">
        <v>13699</v>
      </c>
      <c r="K55" s="24" t="n">
        <f aca="false">IF(Search!$B$3="",0,IF($A55="",N(K54),IF(ISNUMBER(SEARCH(Search!$B$3,$A55&amp;"")),N(K54)+1,N(K54))))</f>
        <v>0</v>
      </c>
    </row>
    <row r="56" customFormat="false" ht="15" hidden="false" customHeight="false" outlineLevel="0" collapsed="false">
      <c r="A56" s="19" t="s">
        <v>120</v>
      </c>
      <c r="B56" s="20" t="s">
        <v>48</v>
      </c>
      <c r="C56" s="20" t="s">
        <v>15</v>
      </c>
      <c r="D56" s="21" t="n">
        <v>9.58</v>
      </c>
      <c r="E56" s="20" t="s">
        <v>121</v>
      </c>
      <c r="F56" s="22" t="n">
        <v>46195</v>
      </c>
      <c r="G56" s="20" t="s">
        <v>25</v>
      </c>
      <c r="H56" s="23" t="n">
        <v>6822</v>
      </c>
      <c r="K56" s="24" t="n">
        <f aca="false">IF(Search!$B$3="",0,IF($A56="",N(K55),IF(ISNUMBER(SEARCH(Search!$B$3,$A56&amp;"")),N(K55)+1,N(K55))))</f>
        <v>0</v>
      </c>
    </row>
    <row r="57" customFormat="false" ht="15" hidden="false" customHeight="false" outlineLevel="0" collapsed="false">
      <c r="A57" s="19" t="s">
        <v>122</v>
      </c>
      <c r="B57" s="20" t="s">
        <v>57</v>
      </c>
      <c r="C57" s="20" t="s">
        <v>39</v>
      </c>
      <c r="D57" s="21" t="n">
        <v>27.87</v>
      </c>
      <c r="E57" s="20" t="s">
        <v>123</v>
      </c>
      <c r="F57" s="22" t="n">
        <v>46105</v>
      </c>
      <c r="G57" s="20" t="s">
        <v>25</v>
      </c>
      <c r="H57" s="23" t="n">
        <v>7314</v>
      </c>
      <c r="K57" s="24" t="n">
        <f aca="false">IF(Search!$B$3="",0,IF($A57="",N(K56),IF(ISNUMBER(SEARCH(Search!$B$3,$A57&amp;"")),N(K56)+1,N(K56))))</f>
        <v>0</v>
      </c>
    </row>
    <row r="58" customFormat="false" ht="15" hidden="false" customHeight="false" outlineLevel="0" collapsed="false">
      <c r="A58" s="19" t="s">
        <v>124</v>
      </c>
      <c r="B58" s="20" t="s">
        <v>14</v>
      </c>
      <c r="C58" s="20" t="s">
        <v>39</v>
      </c>
      <c r="D58" s="21" t="n">
        <v>5.47</v>
      </c>
      <c r="E58" s="20" t="s">
        <v>109</v>
      </c>
      <c r="F58" s="22" t="n">
        <v>46157</v>
      </c>
      <c r="G58" s="20" t="s">
        <v>25</v>
      </c>
      <c r="H58" s="23" t="n">
        <v>8175</v>
      </c>
      <c r="K58" s="24" t="n">
        <f aca="false">IF(Search!$B$3="",0,IF($A58="",N(K57),IF(ISNUMBER(SEARCH(Search!$B$3,$A58&amp;"")),N(K57)+1,N(K57))))</f>
        <v>0</v>
      </c>
    </row>
    <row r="59" customFormat="false" ht="15" hidden="false" customHeight="false" outlineLevel="0" collapsed="false">
      <c r="A59" s="19" t="s">
        <v>125</v>
      </c>
      <c r="B59" s="20" t="s">
        <v>19</v>
      </c>
      <c r="C59" s="20" t="s">
        <v>20</v>
      </c>
      <c r="D59" s="21" t="n">
        <v>23.13</v>
      </c>
      <c r="E59" s="20" t="s">
        <v>16</v>
      </c>
      <c r="F59" s="22" t="n">
        <v>46095</v>
      </c>
      <c r="G59" s="20" t="s">
        <v>44</v>
      </c>
      <c r="H59" s="23" t="n">
        <v>3932</v>
      </c>
      <c r="K59" s="24" t="n">
        <f aca="false">IF(Search!$B$3="",0,IF($A59="",N(K58),IF(ISNUMBER(SEARCH(Search!$B$3,$A59&amp;"")),N(K58)+1,N(K58))))</f>
        <v>0</v>
      </c>
    </row>
    <row r="60" customFormat="false" ht="15" hidden="false" customHeight="false" outlineLevel="0" collapsed="false">
      <c r="A60" s="19" t="s">
        <v>126</v>
      </c>
      <c r="B60" s="20" t="s">
        <v>31</v>
      </c>
      <c r="C60" s="20" t="s">
        <v>39</v>
      </c>
      <c r="D60" s="21" t="n">
        <v>13.4</v>
      </c>
      <c r="E60" s="20" t="s">
        <v>73</v>
      </c>
      <c r="F60" s="22" t="n">
        <v>46158</v>
      </c>
      <c r="G60" s="20" t="s">
        <v>29</v>
      </c>
      <c r="H60" s="23" t="n">
        <v>9219</v>
      </c>
      <c r="K60" s="24" t="n">
        <f aca="false">IF(Search!$B$3="",0,IF($A60="",N(K59),IF(ISNUMBER(SEARCH(Search!$B$3,$A60&amp;"")),N(K59)+1,N(K59))))</f>
        <v>0</v>
      </c>
    </row>
    <row r="61" customFormat="false" ht="15" hidden="false" customHeight="false" outlineLevel="0" collapsed="false">
      <c r="A61" s="19" t="s">
        <v>127</v>
      </c>
      <c r="B61" s="20" t="s">
        <v>31</v>
      </c>
      <c r="C61" s="20" t="s">
        <v>51</v>
      </c>
      <c r="D61" s="21" t="n">
        <v>6.8</v>
      </c>
      <c r="E61" s="20" t="s">
        <v>58</v>
      </c>
      <c r="F61" s="22" t="n">
        <v>46094</v>
      </c>
      <c r="G61" s="20" t="s">
        <v>63</v>
      </c>
      <c r="H61" s="23" t="n">
        <v>4958</v>
      </c>
      <c r="K61" s="24" t="n">
        <f aca="false">IF(Search!$B$3="",0,IF($A61="",N(K60),IF(ISNUMBER(SEARCH(Search!$B$3,$A61&amp;"")),N(K60)+1,N(K60))))</f>
        <v>0</v>
      </c>
    </row>
    <row r="62" customFormat="false" ht="15" hidden="false" customHeight="false" outlineLevel="0" collapsed="false">
      <c r="A62" s="19" t="s">
        <v>128</v>
      </c>
      <c r="B62" s="20" t="s">
        <v>14</v>
      </c>
      <c r="C62" s="20" t="s">
        <v>51</v>
      </c>
      <c r="D62" s="21" t="n">
        <v>18.02</v>
      </c>
      <c r="E62" s="20" t="s">
        <v>84</v>
      </c>
      <c r="F62" s="22" t="n">
        <v>46261</v>
      </c>
      <c r="G62" s="20" t="s">
        <v>29</v>
      </c>
      <c r="H62" s="23" t="n">
        <v>6992</v>
      </c>
      <c r="K62" s="24" t="n">
        <f aca="false">IF(Search!$B$3="",0,IF($A62="",N(K61),IF(ISNUMBER(SEARCH(Search!$B$3,$A62&amp;"")),N(K61)+1,N(K61))))</f>
        <v>0</v>
      </c>
    </row>
    <row r="63" customFormat="false" ht="15" hidden="false" customHeight="false" outlineLevel="0" collapsed="false">
      <c r="A63" s="19" t="s">
        <v>129</v>
      </c>
      <c r="B63" s="20" t="s">
        <v>19</v>
      </c>
      <c r="C63" s="20" t="s">
        <v>51</v>
      </c>
      <c r="D63" s="21" t="n">
        <v>15.94</v>
      </c>
      <c r="E63" s="20" t="s">
        <v>67</v>
      </c>
      <c r="F63" s="22" t="n">
        <v>46093</v>
      </c>
      <c r="G63" s="20" t="s">
        <v>25</v>
      </c>
      <c r="H63" s="23" t="n">
        <v>11947</v>
      </c>
      <c r="K63" s="24" t="n">
        <f aca="false">IF(Search!$B$3="",0,IF($A63="",N(K62),IF(ISNUMBER(SEARCH(Search!$B$3,$A63&amp;"")),N(K62)+1,N(K62))))</f>
        <v>0</v>
      </c>
    </row>
    <row r="64" customFormat="false" ht="15" hidden="false" customHeight="false" outlineLevel="0" collapsed="false">
      <c r="A64" s="19" t="s">
        <v>130</v>
      </c>
      <c r="B64" s="20" t="s">
        <v>23</v>
      </c>
      <c r="C64" s="20" t="s">
        <v>15</v>
      </c>
      <c r="D64" s="21" t="n">
        <v>10.08</v>
      </c>
      <c r="E64" s="20" t="s">
        <v>40</v>
      </c>
      <c r="F64" s="22" t="n">
        <v>46227</v>
      </c>
      <c r="G64" s="20" t="s">
        <v>17</v>
      </c>
      <c r="H64" s="23" t="n">
        <v>10734</v>
      </c>
      <c r="K64" s="24" t="n">
        <f aca="false">IF(Search!$B$3="",0,IF($A64="",N(K63),IF(ISNUMBER(SEARCH(Search!$B$3,$A64&amp;"")),N(K63)+1,N(K63))))</f>
        <v>0</v>
      </c>
    </row>
    <row r="65" customFormat="false" ht="15" hidden="false" customHeight="false" outlineLevel="0" collapsed="false">
      <c r="A65" s="19" t="s">
        <v>131</v>
      </c>
      <c r="B65" s="20" t="s">
        <v>23</v>
      </c>
      <c r="C65" s="20" t="s">
        <v>39</v>
      </c>
      <c r="D65" s="21" t="n">
        <v>7.67</v>
      </c>
      <c r="E65" s="20" t="s">
        <v>49</v>
      </c>
      <c r="F65" s="22" t="n">
        <v>46124</v>
      </c>
      <c r="G65" s="20" t="s">
        <v>25</v>
      </c>
      <c r="H65" s="23" t="n">
        <v>9221</v>
      </c>
      <c r="K65" s="24" t="n">
        <f aca="false">IF(Search!$B$3="",0,IF($A65="",N(K64),IF(ISNUMBER(SEARCH(Search!$B$3,$A65&amp;"")),N(K64)+1,N(K64))))</f>
        <v>0</v>
      </c>
    </row>
    <row r="66" customFormat="false" ht="15" hidden="false" customHeight="false" outlineLevel="0" collapsed="false">
      <c r="A66" s="19" t="s">
        <v>132</v>
      </c>
      <c r="B66" s="20" t="s">
        <v>48</v>
      </c>
      <c r="C66" s="20" t="s">
        <v>35</v>
      </c>
      <c r="D66" s="21" t="n">
        <v>25.59</v>
      </c>
      <c r="E66" s="20" t="s">
        <v>105</v>
      </c>
      <c r="F66" s="22" t="n">
        <v>46097</v>
      </c>
      <c r="G66" s="20" t="s">
        <v>25</v>
      </c>
      <c r="H66" s="23" t="n">
        <v>8896</v>
      </c>
      <c r="K66" s="24" t="n">
        <f aca="false">IF(Search!$B$3="",0,IF($A66="",N(K65),IF(ISNUMBER(SEARCH(Search!$B$3,$A66&amp;"")),N(K65)+1,N(K65))))</f>
        <v>0</v>
      </c>
    </row>
    <row r="67" customFormat="false" ht="15" hidden="false" customHeight="false" outlineLevel="0" collapsed="false">
      <c r="A67" s="19" t="s">
        <v>133</v>
      </c>
      <c r="B67" s="20" t="s">
        <v>48</v>
      </c>
      <c r="C67" s="20" t="s">
        <v>15</v>
      </c>
      <c r="D67" s="21" t="n">
        <v>22.87</v>
      </c>
      <c r="E67" s="20" t="s">
        <v>98</v>
      </c>
      <c r="F67" s="22" t="n">
        <v>46151</v>
      </c>
      <c r="G67" s="20" t="s">
        <v>29</v>
      </c>
      <c r="H67" s="23" t="n">
        <v>10125</v>
      </c>
      <c r="K67" s="24" t="n">
        <f aca="false">IF(Search!$B$3="",0,IF($A67="",N(K66),IF(ISNUMBER(SEARCH(Search!$B$3,$A67&amp;"")),N(K66)+1,N(K66))))</f>
        <v>0</v>
      </c>
    </row>
    <row r="68" customFormat="false" ht="15" hidden="false" customHeight="false" outlineLevel="0" collapsed="false">
      <c r="A68" s="19" t="s">
        <v>134</v>
      </c>
      <c r="B68" s="20" t="s">
        <v>14</v>
      </c>
      <c r="C68" s="20" t="s">
        <v>20</v>
      </c>
      <c r="D68" s="21" t="n">
        <v>6.92</v>
      </c>
      <c r="E68" s="20" t="s">
        <v>90</v>
      </c>
      <c r="F68" s="22" t="n">
        <v>46258</v>
      </c>
      <c r="G68" s="20" t="s">
        <v>44</v>
      </c>
      <c r="H68" s="23" t="n">
        <v>8821</v>
      </c>
      <c r="K68" s="24" t="n">
        <f aca="false">IF(Search!$B$3="",0,IF($A68="",N(K67),IF(ISNUMBER(SEARCH(Search!$B$3,$A68&amp;"")),N(K67)+1,N(K67))))</f>
        <v>0</v>
      </c>
    </row>
    <row r="69" customFormat="false" ht="15" hidden="false" customHeight="false" outlineLevel="0" collapsed="false">
      <c r="A69" s="19" t="s">
        <v>135</v>
      </c>
      <c r="B69" s="20" t="s">
        <v>23</v>
      </c>
      <c r="C69" s="20" t="s">
        <v>51</v>
      </c>
      <c r="D69" s="21" t="n">
        <v>7.44</v>
      </c>
      <c r="E69" s="20" t="s">
        <v>36</v>
      </c>
      <c r="F69" s="22" t="n">
        <v>46183</v>
      </c>
      <c r="G69" s="20" t="s">
        <v>29</v>
      </c>
      <c r="H69" s="23" t="n">
        <v>10773</v>
      </c>
      <c r="K69" s="24" t="n">
        <f aca="false">IF(Search!$B$3="",0,IF($A69="",N(K68),IF(ISNUMBER(SEARCH(Search!$B$3,$A69&amp;"")),N(K68)+1,N(K68))))</f>
        <v>0</v>
      </c>
    </row>
    <row r="70" customFormat="false" ht="15" hidden="false" customHeight="false" outlineLevel="0" collapsed="false">
      <c r="A70" s="19" t="s">
        <v>136</v>
      </c>
      <c r="B70" s="20" t="s">
        <v>48</v>
      </c>
      <c r="C70" s="20" t="s">
        <v>15</v>
      </c>
      <c r="D70" s="21" t="n">
        <v>18.86</v>
      </c>
      <c r="E70" s="20" t="s">
        <v>137</v>
      </c>
      <c r="F70" s="22" t="n">
        <v>46093</v>
      </c>
      <c r="G70" s="20" t="s">
        <v>63</v>
      </c>
      <c r="H70" s="23" t="n">
        <v>7604</v>
      </c>
      <c r="K70" s="24" t="n">
        <f aca="false">IF(Search!$B$3="",0,IF($A70="",N(K69),IF(ISNUMBER(SEARCH(Search!$B$3,$A70&amp;"")),N(K69)+1,N(K69))))</f>
        <v>0</v>
      </c>
    </row>
    <row r="71" customFormat="false" ht="15" hidden="false" customHeight="false" outlineLevel="0" collapsed="false">
      <c r="A71" s="19" t="s">
        <v>138</v>
      </c>
      <c r="B71" s="20" t="s">
        <v>19</v>
      </c>
      <c r="C71" s="20" t="s">
        <v>15</v>
      </c>
      <c r="D71" s="21" t="n">
        <v>23.31</v>
      </c>
      <c r="E71" s="20" t="s">
        <v>67</v>
      </c>
      <c r="F71" s="22" t="n">
        <v>46142</v>
      </c>
      <c r="G71" s="20" t="s">
        <v>44</v>
      </c>
      <c r="H71" s="23" t="n">
        <v>12545</v>
      </c>
      <c r="K71" s="24" t="n">
        <f aca="false">IF(Search!$B$3="",0,IF($A71="",N(K70),IF(ISNUMBER(SEARCH(Search!$B$3,$A71&amp;"")),N(K70)+1,N(K70))))</f>
        <v>0</v>
      </c>
    </row>
    <row r="72" customFormat="false" ht="15" hidden="false" customHeight="false" outlineLevel="0" collapsed="false">
      <c r="A72" s="19" t="s">
        <v>139</v>
      </c>
      <c r="B72" s="20" t="s">
        <v>27</v>
      </c>
      <c r="C72" s="20" t="s">
        <v>35</v>
      </c>
      <c r="D72" s="21" t="n">
        <v>18.95</v>
      </c>
      <c r="E72" s="20" t="s">
        <v>140</v>
      </c>
      <c r="F72" s="22" t="n">
        <v>46164</v>
      </c>
      <c r="G72" s="20" t="s">
        <v>33</v>
      </c>
      <c r="H72" s="23" t="n">
        <v>5404</v>
      </c>
      <c r="K72" s="24" t="n">
        <f aca="false">IF(Search!$B$3="",0,IF($A72="",N(K71),IF(ISNUMBER(SEARCH(Search!$B$3,$A72&amp;"")),N(K71)+1,N(K71))))</f>
        <v>0</v>
      </c>
    </row>
    <row r="73" customFormat="false" ht="15" hidden="false" customHeight="false" outlineLevel="0" collapsed="false">
      <c r="A73" s="19" t="s">
        <v>141</v>
      </c>
      <c r="B73" s="20" t="s">
        <v>48</v>
      </c>
      <c r="C73" s="20" t="s">
        <v>15</v>
      </c>
      <c r="D73" s="21" t="n">
        <v>16.87</v>
      </c>
      <c r="E73" s="20" t="s">
        <v>81</v>
      </c>
      <c r="F73" s="22" t="n">
        <v>46140</v>
      </c>
      <c r="G73" s="20" t="s">
        <v>33</v>
      </c>
      <c r="H73" s="23" t="n">
        <v>7189</v>
      </c>
      <c r="K73" s="24" t="n">
        <f aca="false">IF(Search!$B$3="",0,IF($A73="",N(K72),IF(ISNUMBER(SEARCH(Search!$B$3,$A73&amp;"")),N(K72)+1,N(K72))))</f>
        <v>0</v>
      </c>
    </row>
    <row r="74" customFormat="false" ht="15" hidden="false" customHeight="false" outlineLevel="0" collapsed="false">
      <c r="A74" s="19" t="s">
        <v>142</v>
      </c>
      <c r="B74" s="20" t="s">
        <v>19</v>
      </c>
      <c r="C74" s="20" t="s">
        <v>15</v>
      </c>
      <c r="D74" s="21" t="n">
        <v>14.38</v>
      </c>
      <c r="E74" s="20" t="s">
        <v>40</v>
      </c>
      <c r="F74" s="22" t="n">
        <v>46230</v>
      </c>
      <c r="G74" s="20" t="s">
        <v>29</v>
      </c>
      <c r="H74" s="23" t="n">
        <v>9382</v>
      </c>
      <c r="K74" s="24" t="n">
        <f aca="false">IF(Search!$B$3="",0,IF($A74="",N(K73),IF(ISNUMBER(SEARCH(Search!$B$3,$A74&amp;"")),N(K73)+1,N(K73))))</f>
        <v>0</v>
      </c>
    </row>
    <row r="75" customFormat="false" ht="15" hidden="false" customHeight="false" outlineLevel="0" collapsed="false">
      <c r="A75" s="19" t="s">
        <v>143</v>
      </c>
      <c r="B75" s="20" t="s">
        <v>19</v>
      </c>
      <c r="C75" s="20" t="s">
        <v>51</v>
      </c>
      <c r="D75" s="21" t="n">
        <v>5.33</v>
      </c>
      <c r="E75" s="20" t="s">
        <v>28</v>
      </c>
      <c r="F75" s="22" t="n">
        <v>46272</v>
      </c>
      <c r="G75" s="20" t="s">
        <v>63</v>
      </c>
      <c r="H75" s="23" t="n">
        <v>12572</v>
      </c>
      <c r="K75" s="24" t="n">
        <f aca="false">IF(Search!$B$3="",0,IF($A75="",N(K74),IF(ISNUMBER(SEARCH(Search!$B$3,$A75&amp;"")),N(K74)+1,N(K74))))</f>
        <v>0</v>
      </c>
    </row>
    <row r="76" customFormat="false" ht="15" hidden="false" customHeight="false" outlineLevel="0" collapsed="false">
      <c r="A76" s="19" t="s">
        <v>144</v>
      </c>
      <c r="B76" s="20" t="s">
        <v>48</v>
      </c>
      <c r="C76" s="20" t="s">
        <v>51</v>
      </c>
      <c r="D76" s="21" t="n">
        <v>22.95</v>
      </c>
      <c r="E76" s="20" t="s">
        <v>55</v>
      </c>
      <c r="F76" s="22" t="n">
        <v>46224</v>
      </c>
      <c r="G76" s="20" t="s">
        <v>25</v>
      </c>
      <c r="H76" s="23" t="n">
        <v>10116</v>
      </c>
      <c r="K76" s="24" t="n">
        <f aca="false">IF(Search!$B$3="",0,IF($A76="",N(K75),IF(ISNUMBER(SEARCH(Search!$B$3,$A76&amp;"")),N(K75)+1,N(K75))))</f>
        <v>0</v>
      </c>
    </row>
    <row r="77" customFormat="false" ht="15" hidden="false" customHeight="false" outlineLevel="0" collapsed="false">
      <c r="A77" s="19" t="s">
        <v>145</v>
      </c>
      <c r="B77" s="20" t="s">
        <v>54</v>
      </c>
      <c r="C77" s="20" t="s">
        <v>39</v>
      </c>
      <c r="D77" s="21" t="n">
        <v>18.87</v>
      </c>
      <c r="E77" s="20" t="s">
        <v>146</v>
      </c>
      <c r="F77" s="22" t="n">
        <v>46129</v>
      </c>
      <c r="G77" s="20" t="s">
        <v>17</v>
      </c>
      <c r="H77" s="23" t="n">
        <v>10664</v>
      </c>
      <c r="K77" s="24" t="n">
        <f aca="false">IF(Search!$B$3="",0,IF($A77="",N(K76),IF(ISNUMBER(SEARCH(Search!$B$3,$A77&amp;"")),N(K76)+1,N(K76))))</f>
        <v>0</v>
      </c>
    </row>
    <row r="78" customFormat="false" ht="15" hidden="false" customHeight="false" outlineLevel="0" collapsed="false">
      <c r="A78" s="19" t="s">
        <v>147</v>
      </c>
      <c r="B78" s="20" t="s">
        <v>54</v>
      </c>
      <c r="C78" s="20" t="s">
        <v>20</v>
      </c>
      <c r="D78" s="21" t="n">
        <v>11.22</v>
      </c>
      <c r="E78" s="20" t="s">
        <v>98</v>
      </c>
      <c r="F78" s="22" t="n">
        <v>46183</v>
      </c>
      <c r="G78" s="20" t="s">
        <v>17</v>
      </c>
      <c r="H78" s="23" t="n">
        <v>13204</v>
      </c>
      <c r="K78" s="24" t="n">
        <f aca="false">IF(Search!$B$3="",0,IF($A78="",N(K77),IF(ISNUMBER(SEARCH(Search!$B$3,$A78&amp;"")),N(K77)+1,N(K77))))</f>
        <v>0</v>
      </c>
    </row>
    <row r="79" customFormat="false" ht="15" hidden="false" customHeight="false" outlineLevel="0" collapsed="false">
      <c r="A79" s="19" t="s">
        <v>148</v>
      </c>
      <c r="B79" s="20" t="s">
        <v>31</v>
      </c>
      <c r="C79" s="20" t="s">
        <v>42</v>
      </c>
      <c r="D79" s="21" t="n">
        <v>18.51</v>
      </c>
      <c r="E79" s="20" t="s">
        <v>92</v>
      </c>
      <c r="F79" s="22" t="n">
        <v>46243</v>
      </c>
      <c r="G79" s="20" t="s">
        <v>17</v>
      </c>
      <c r="H79" s="23" t="n">
        <v>4197</v>
      </c>
      <c r="K79" s="24" t="n">
        <f aca="false">IF(Search!$B$3="",0,IF($A79="",N(K78),IF(ISNUMBER(SEARCH(Search!$B$3,$A79&amp;"")),N(K78)+1,N(K78))))</f>
        <v>0</v>
      </c>
    </row>
    <row r="80" customFormat="false" ht="15" hidden="false" customHeight="false" outlineLevel="0" collapsed="false">
      <c r="A80" s="19" t="s">
        <v>149</v>
      </c>
      <c r="B80" s="20" t="s">
        <v>54</v>
      </c>
      <c r="C80" s="20" t="s">
        <v>15</v>
      </c>
      <c r="D80" s="21" t="n">
        <v>12.62</v>
      </c>
      <c r="E80" s="20" t="s">
        <v>98</v>
      </c>
      <c r="F80" s="22" t="n">
        <v>46126</v>
      </c>
      <c r="G80" s="20" t="s">
        <v>44</v>
      </c>
      <c r="H80" s="23" t="n">
        <v>8593</v>
      </c>
      <c r="K80" s="24" t="n">
        <f aca="false">IF(Search!$B$3="",0,IF($A80="",N(K79),IF(ISNUMBER(SEARCH(Search!$B$3,$A80&amp;"")),N(K79)+1,N(K79))))</f>
        <v>0</v>
      </c>
    </row>
    <row r="81" customFormat="false" ht="15" hidden="false" customHeight="false" outlineLevel="0" collapsed="false">
      <c r="A81" s="19" t="s">
        <v>150</v>
      </c>
      <c r="B81" s="20" t="s">
        <v>27</v>
      </c>
      <c r="C81" s="20" t="s">
        <v>51</v>
      </c>
      <c r="D81" s="21" t="n">
        <v>11.48</v>
      </c>
      <c r="E81" s="20" t="s">
        <v>121</v>
      </c>
      <c r="F81" s="22" t="n">
        <v>46185</v>
      </c>
      <c r="G81" s="20" t="s">
        <v>44</v>
      </c>
      <c r="H81" s="23" t="n">
        <v>11159</v>
      </c>
      <c r="K81" s="24" t="n">
        <f aca="false">IF(Search!$B$3="",0,IF($A81="",N(K80),IF(ISNUMBER(SEARCH(Search!$B$3,$A81&amp;"")),N(K80)+1,N(K80))))</f>
        <v>0</v>
      </c>
    </row>
    <row r="82" customFormat="false" ht="15" hidden="false" customHeight="false" outlineLevel="0" collapsed="false">
      <c r="K82" s="24" t="n">
        <f aca="false">IF(Search!$B$3="",0,IF($A82="",N(K81),IF(ISNUMBER(SEARCH(Search!$B$3,$A82&amp;"")),N(K81)+1,N(K81))))</f>
        <v>0</v>
      </c>
    </row>
    <row r="83" customFormat="false" ht="15" hidden="false" customHeight="false" outlineLevel="0" collapsed="false">
      <c r="A83" s="25" t="s">
        <v>151</v>
      </c>
      <c r="K83" s="24" t="n">
        <f aca="false">IF(Search!$B$3="",0,IF($A83="",N(K82),IF(ISNUMBER(SEARCH(Search!$B$3,$A83&amp;"")),N(K82)+1,N(K82))))</f>
        <v>0</v>
      </c>
    </row>
    <row r="84" customFormat="false" ht="15" hidden="false" customHeight="false" outlineLevel="0" collapsed="false">
      <c r="K84" s="24" t="n">
        <f aca="false">IF(Search!$B$3="",0,IF($A84="",N(K83),IF(ISNUMBER(SEARCH(Search!$B$3,$A84&amp;"")),N(K83)+1,N(K83))))</f>
        <v>0</v>
      </c>
    </row>
    <row r="85" customFormat="false" ht="15" hidden="false" customHeight="false" outlineLevel="0" collapsed="false">
      <c r="K85" s="24" t="n">
        <f aca="false">IF(Search!$B$3="",0,IF($A85="",N(K84),IF(ISNUMBER(SEARCH(Search!$B$3,$A85&amp;"")),N(K84)+1,N(K84))))</f>
        <v>0</v>
      </c>
    </row>
    <row r="86" customFormat="false" ht="15" hidden="false" customHeight="false" outlineLevel="0" collapsed="false">
      <c r="K86" s="24" t="n">
        <f aca="false">IF(Search!$B$3="",0,IF($A86="",N(K85),IF(ISNUMBER(SEARCH(Search!$B$3,$A86&amp;"")),N(K85)+1,N(K85))))</f>
        <v>0</v>
      </c>
    </row>
    <row r="87" customFormat="false" ht="15" hidden="false" customHeight="false" outlineLevel="0" collapsed="false">
      <c r="K87" s="24" t="n">
        <f aca="false">IF(Search!$B$3="",0,IF($A87="",N(K86),IF(ISNUMBER(SEARCH(Search!$B$3,$A87&amp;"")),N(K86)+1,N(K86))))</f>
        <v>0</v>
      </c>
    </row>
    <row r="88" customFormat="false" ht="15" hidden="false" customHeight="false" outlineLevel="0" collapsed="false">
      <c r="K88" s="24" t="n">
        <f aca="false">IF(Search!$B$3="",0,IF($A88="",N(K87),IF(ISNUMBER(SEARCH(Search!$B$3,$A88&amp;"")),N(K87)+1,N(K87))))</f>
        <v>0</v>
      </c>
    </row>
    <row r="89" customFormat="false" ht="15" hidden="false" customHeight="false" outlineLevel="0" collapsed="false">
      <c r="K89" s="24" t="n">
        <f aca="false">IF(Search!$B$3="",0,IF($A89="",N(K88),IF(ISNUMBER(SEARCH(Search!$B$3,$A89&amp;"")),N(K88)+1,N(K88))))</f>
        <v>0</v>
      </c>
    </row>
    <row r="90" customFormat="false" ht="15" hidden="false" customHeight="false" outlineLevel="0" collapsed="false">
      <c r="K90" s="24" t="n">
        <f aca="false">IF(Search!$B$3="",0,IF($A90="",N(K89),IF(ISNUMBER(SEARCH(Search!$B$3,$A90&amp;"")),N(K89)+1,N(K89))))</f>
        <v>0</v>
      </c>
    </row>
    <row r="91" customFormat="false" ht="15" hidden="false" customHeight="false" outlineLevel="0" collapsed="false">
      <c r="K91" s="24" t="n">
        <f aca="false">IF(Search!$B$3="",0,IF($A91="",N(K90),IF(ISNUMBER(SEARCH(Search!$B$3,$A91&amp;"")),N(K90)+1,N(K90))))</f>
        <v>0</v>
      </c>
    </row>
    <row r="92" customFormat="false" ht="15" hidden="false" customHeight="false" outlineLevel="0" collapsed="false">
      <c r="K92" s="24" t="n">
        <f aca="false">IF(Search!$B$3="",0,IF($A92="",N(K91),IF(ISNUMBER(SEARCH(Search!$B$3,$A92&amp;"")),N(K91)+1,N(K91))))</f>
        <v>0</v>
      </c>
    </row>
    <row r="93" customFormat="false" ht="15" hidden="false" customHeight="false" outlineLevel="0" collapsed="false">
      <c r="K93" s="24" t="n">
        <f aca="false">IF(Search!$B$3="",0,IF($A93="",N(K92),IF(ISNUMBER(SEARCH(Search!$B$3,$A93&amp;"")),N(K92)+1,N(K92))))</f>
        <v>0</v>
      </c>
    </row>
    <row r="94" customFormat="false" ht="15" hidden="false" customHeight="false" outlineLevel="0" collapsed="false">
      <c r="K94" s="24" t="n">
        <f aca="false">IF(Search!$B$3="",0,IF($A94="",N(K93),IF(ISNUMBER(SEARCH(Search!$B$3,$A94&amp;"")),N(K93)+1,N(K93))))</f>
        <v>0</v>
      </c>
    </row>
    <row r="95" customFormat="false" ht="15" hidden="false" customHeight="false" outlineLevel="0" collapsed="false">
      <c r="K95" s="24" t="n">
        <f aca="false">IF(Search!$B$3="",0,IF($A95="",N(K94),IF(ISNUMBER(SEARCH(Search!$B$3,$A95&amp;"")),N(K94)+1,N(K94))))</f>
        <v>0</v>
      </c>
    </row>
    <row r="96" customFormat="false" ht="15" hidden="false" customHeight="false" outlineLevel="0" collapsed="false">
      <c r="K96" s="24" t="n">
        <f aca="false">IF(Search!$B$3="",0,IF($A96="",N(K95),IF(ISNUMBER(SEARCH(Search!$B$3,$A96&amp;"")),N(K95)+1,N(K95))))</f>
        <v>0</v>
      </c>
    </row>
    <row r="97" customFormat="false" ht="15" hidden="false" customHeight="false" outlineLevel="0" collapsed="false">
      <c r="K97" s="24" t="n">
        <f aca="false">IF(Search!$B$3="",0,IF($A97="",N(K96),IF(ISNUMBER(SEARCH(Search!$B$3,$A97&amp;"")),N(K96)+1,N(K96))))</f>
        <v>0</v>
      </c>
    </row>
    <row r="98" customFormat="false" ht="15" hidden="false" customHeight="false" outlineLevel="0" collapsed="false">
      <c r="K98" s="24" t="n">
        <f aca="false">IF(Search!$B$3="",0,IF($A98="",N(K97),IF(ISNUMBER(SEARCH(Search!$B$3,$A98&amp;"")),N(K97)+1,N(K97))))</f>
        <v>0</v>
      </c>
    </row>
    <row r="99" customFormat="false" ht="15" hidden="false" customHeight="false" outlineLevel="0" collapsed="false">
      <c r="K99" s="24" t="n">
        <f aca="false">IF(Search!$B$3="",0,IF($A99="",N(K98),IF(ISNUMBER(SEARCH(Search!$B$3,$A99&amp;"")),N(K98)+1,N(K98))))</f>
        <v>0</v>
      </c>
    </row>
    <row r="100" customFormat="false" ht="15" hidden="false" customHeight="false" outlineLevel="0" collapsed="false">
      <c r="K100" s="24" t="n">
        <f aca="false">IF(Search!$B$3="",0,IF($A100="",N(K99),IF(ISNUMBER(SEARCH(Search!$B$3,$A100&amp;"")),N(K99)+1,N(K99))))</f>
        <v>0</v>
      </c>
    </row>
    <row r="101" customFormat="false" ht="15" hidden="false" customHeight="false" outlineLevel="0" collapsed="false">
      <c r="K101" s="24" t="n">
        <f aca="false">IF(Search!$B$3="",0,IF($A101="",N(K100),IF(ISNUMBER(SEARCH(Search!$B$3,$A101&amp;"")),N(K100)+1,N(K100))))</f>
        <v>0</v>
      </c>
    </row>
    <row r="102" customFormat="false" ht="15" hidden="false" customHeight="false" outlineLevel="0" collapsed="false">
      <c r="K102" s="24" t="n">
        <f aca="false">IF(Search!$B$3="",0,IF($A102="",N(K101),IF(ISNUMBER(SEARCH(Search!$B$3,$A102&amp;"")),N(K101)+1,N(K101))))</f>
        <v>0</v>
      </c>
    </row>
    <row r="103" customFormat="false" ht="15" hidden="false" customHeight="false" outlineLevel="0" collapsed="false">
      <c r="K103" s="24" t="n">
        <f aca="false">IF(Search!$B$3="",0,IF($A103="",N(K102),IF(ISNUMBER(SEARCH(Search!$B$3,$A103&amp;"")),N(K102)+1,N(K102))))</f>
        <v>0</v>
      </c>
    </row>
    <row r="104" customFormat="false" ht="15" hidden="false" customHeight="false" outlineLevel="0" collapsed="false">
      <c r="K104" s="24" t="n">
        <f aca="false">IF(Search!$B$3="",0,IF($A104="",N(K103),IF(ISNUMBER(SEARCH(Search!$B$3,$A104&amp;"")),N(K103)+1,N(K103))))</f>
        <v>0</v>
      </c>
    </row>
    <row r="105" customFormat="false" ht="15" hidden="false" customHeight="false" outlineLevel="0" collapsed="false">
      <c r="K105" s="24" t="n">
        <f aca="false">IF(Search!$B$3="",0,IF($A105="",N(K104),IF(ISNUMBER(SEARCH(Search!$B$3,$A105&amp;"")),N(K104)+1,N(K104))))</f>
        <v>0</v>
      </c>
    </row>
    <row r="106" customFormat="false" ht="15" hidden="false" customHeight="false" outlineLevel="0" collapsed="false">
      <c r="K106" s="24" t="n">
        <f aca="false">IF(Search!$B$3="",0,IF($A106="",N(K105),IF(ISNUMBER(SEARCH(Search!$B$3,$A106&amp;"")),N(K105)+1,N(K105))))</f>
        <v>0</v>
      </c>
    </row>
    <row r="107" customFormat="false" ht="15" hidden="false" customHeight="false" outlineLevel="0" collapsed="false">
      <c r="K107" s="24" t="n">
        <f aca="false">IF(Search!$B$3="",0,IF($A107="",N(K106),IF(ISNUMBER(SEARCH(Search!$B$3,$A107&amp;"")),N(K106)+1,N(K106))))</f>
        <v>0</v>
      </c>
    </row>
    <row r="108" customFormat="false" ht="15" hidden="false" customHeight="false" outlineLevel="0" collapsed="false">
      <c r="K108" s="24" t="n">
        <f aca="false">IF(Search!$B$3="",0,IF($A108="",N(K107),IF(ISNUMBER(SEARCH(Search!$B$3,$A108&amp;"")),N(K107)+1,N(K107))))</f>
        <v>0</v>
      </c>
    </row>
    <row r="109" customFormat="false" ht="15" hidden="false" customHeight="false" outlineLevel="0" collapsed="false">
      <c r="K109" s="24" t="n">
        <f aca="false">IF(Search!$B$3="",0,IF($A109="",N(K108),IF(ISNUMBER(SEARCH(Search!$B$3,$A109&amp;"")),N(K108)+1,N(K108))))</f>
        <v>0</v>
      </c>
    </row>
    <row r="110" customFormat="false" ht="15" hidden="false" customHeight="false" outlineLevel="0" collapsed="false">
      <c r="K110" s="24" t="n">
        <f aca="false">IF(Search!$B$3="",0,IF($A110="",N(K109),IF(ISNUMBER(SEARCH(Search!$B$3,$A110&amp;"")),N(K109)+1,N(K109))))</f>
        <v>0</v>
      </c>
    </row>
    <row r="111" customFormat="false" ht="15" hidden="false" customHeight="false" outlineLevel="0" collapsed="false">
      <c r="K111" s="24" t="n">
        <f aca="false">IF(Search!$B$3="",0,IF($A111="",N(K110),IF(ISNUMBER(SEARCH(Search!$B$3,$A111&amp;"")),N(K110)+1,N(K110))))</f>
        <v>0</v>
      </c>
    </row>
    <row r="112" customFormat="false" ht="15" hidden="false" customHeight="false" outlineLevel="0" collapsed="false">
      <c r="K112" s="24" t="n">
        <f aca="false">IF(Search!$B$3="",0,IF($A112="",N(K111),IF(ISNUMBER(SEARCH(Search!$B$3,$A112&amp;"")),N(K111)+1,N(K111))))</f>
        <v>0</v>
      </c>
    </row>
    <row r="113" customFormat="false" ht="15" hidden="false" customHeight="false" outlineLevel="0" collapsed="false">
      <c r="K113" s="24" t="n">
        <f aca="false">IF(Search!$B$3="",0,IF($A113="",N(K112),IF(ISNUMBER(SEARCH(Search!$B$3,$A113&amp;"")),N(K112)+1,N(K112))))</f>
        <v>0</v>
      </c>
    </row>
    <row r="114" customFormat="false" ht="15" hidden="false" customHeight="false" outlineLevel="0" collapsed="false">
      <c r="K114" s="24" t="n">
        <f aca="false">IF(Search!$B$3="",0,IF($A114="",N(K113),IF(ISNUMBER(SEARCH(Search!$B$3,$A114&amp;"")),N(K113)+1,N(K113))))</f>
        <v>0</v>
      </c>
    </row>
    <row r="115" customFormat="false" ht="15" hidden="false" customHeight="false" outlineLevel="0" collapsed="false">
      <c r="K115" s="24" t="n">
        <f aca="false">IF(Search!$B$3="",0,IF($A115="",N(K114),IF(ISNUMBER(SEARCH(Search!$B$3,$A115&amp;"")),N(K114)+1,N(K114))))</f>
        <v>0</v>
      </c>
    </row>
    <row r="116" customFormat="false" ht="15" hidden="false" customHeight="false" outlineLevel="0" collapsed="false">
      <c r="K116" s="24" t="n">
        <f aca="false">IF(Search!$B$3="",0,IF($A116="",N(K115),IF(ISNUMBER(SEARCH(Search!$B$3,$A116&amp;"")),N(K115)+1,N(K115))))</f>
        <v>0</v>
      </c>
    </row>
    <row r="117" customFormat="false" ht="15" hidden="false" customHeight="false" outlineLevel="0" collapsed="false">
      <c r="K117" s="24" t="n">
        <f aca="false">IF(Search!$B$3="",0,IF($A117="",N(K116),IF(ISNUMBER(SEARCH(Search!$B$3,$A117&amp;"")),N(K116)+1,N(K116))))</f>
        <v>0</v>
      </c>
    </row>
    <row r="118" customFormat="false" ht="15" hidden="false" customHeight="false" outlineLevel="0" collapsed="false">
      <c r="K118" s="24" t="n">
        <f aca="false">IF(Search!$B$3="",0,IF($A118="",N(K117),IF(ISNUMBER(SEARCH(Search!$B$3,$A118&amp;"")),N(K117)+1,N(K117))))</f>
        <v>0</v>
      </c>
    </row>
    <row r="119" customFormat="false" ht="15" hidden="false" customHeight="false" outlineLevel="0" collapsed="false">
      <c r="K119" s="24" t="n">
        <f aca="false">IF(Search!$B$3="",0,IF($A119="",N(K118),IF(ISNUMBER(SEARCH(Search!$B$3,$A119&amp;"")),N(K118)+1,N(K118))))</f>
        <v>0</v>
      </c>
    </row>
    <row r="120" customFormat="false" ht="15" hidden="false" customHeight="false" outlineLevel="0" collapsed="false">
      <c r="K120" s="24" t="n">
        <f aca="false">IF(Search!$B$3="",0,IF($A120="",N(K119),IF(ISNUMBER(SEARCH(Search!$B$3,$A120&amp;"")),N(K119)+1,N(K119))))</f>
        <v>0</v>
      </c>
    </row>
    <row r="121" customFormat="false" ht="15" hidden="false" customHeight="false" outlineLevel="0" collapsed="false">
      <c r="K121" s="24" t="n">
        <f aca="false">IF(Search!$B$3="",0,IF($A121="",N(K120),IF(ISNUMBER(SEARCH(Search!$B$3,$A121&amp;"")),N(K120)+1,N(K120))))</f>
        <v>0</v>
      </c>
    </row>
    <row r="122" customFormat="false" ht="15" hidden="false" customHeight="false" outlineLevel="0" collapsed="false">
      <c r="K122" s="24" t="n">
        <f aca="false">IF(Search!$B$3="",0,IF($A122="",N(K121),IF(ISNUMBER(SEARCH(Search!$B$3,$A122&amp;"")),N(K121)+1,N(K121))))</f>
        <v>0</v>
      </c>
    </row>
    <row r="123" customFormat="false" ht="15" hidden="false" customHeight="false" outlineLevel="0" collapsed="false">
      <c r="K123" s="24" t="n">
        <f aca="false">IF(Search!$B$3="",0,IF($A123="",N(K122),IF(ISNUMBER(SEARCH(Search!$B$3,$A123&amp;"")),N(K122)+1,N(K122))))</f>
        <v>0</v>
      </c>
    </row>
    <row r="124" customFormat="false" ht="15" hidden="false" customHeight="false" outlineLevel="0" collapsed="false">
      <c r="K124" s="24" t="n">
        <f aca="false">IF(Search!$B$3="",0,IF($A124="",N(K123),IF(ISNUMBER(SEARCH(Search!$B$3,$A124&amp;"")),N(K123)+1,N(K123))))</f>
        <v>0</v>
      </c>
    </row>
    <row r="125" customFormat="false" ht="15" hidden="false" customHeight="false" outlineLevel="0" collapsed="false">
      <c r="K125" s="24" t="n">
        <f aca="false">IF(Search!$B$3="",0,IF($A125="",N(K124),IF(ISNUMBER(SEARCH(Search!$B$3,$A125&amp;"")),N(K124)+1,N(K124))))</f>
        <v>0</v>
      </c>
    </row>
    <row r="126" customFormat="false" ht="15" hidden="false" customHeight="false" outlineLevel="0" collapsed="false">
      <c r="K126" s="24" t="n">
        <f aca="false">IF(Search!$B$3="",0,IF($A126="",N(K125),IF(ISNUMBER(SEARCH(Search!$B$3,$A126&amp;"")),N(K125)+1,N(K125))))</f>
        <v>0</v>
      </c>
    </row>
    <row r="127" customFormat="false" ht="15" hidden="false" customHeight="false" outlineLevel="0" collapsed="false">
      <c r="K127" s="24" t="n">
        <f aca="false">IF(Search!$B$3="",0,IF($A127="",N(K126),IF(ISNUMBER(SEARCH(Search!$B$3,$A127&amp;"")),N(K126)+1,N(K126))))</f>
        <v>0</v>
      </c>
    </row>
    <row r="128" customFormat="false" ht="15" hidden="false" customHeight="false" outlineLevel="0" collapsed="false">
      <c r="K128" s="24" t="n">
        <f aca="false">IF(Search!$B$3="",0,IF($A128="",N(K127),IF(ISNUMBER(SEARCH(Search!$B$3,$A128&amp;"")),N(K127)+1,N(K127))))</f>
        <v>0</v>
      </c>
    </row>
    <row r="129" customFormat="false" ht="15" hidden="false" customHeight="false" outlineLevel="0" collapsed="false">
      <c r="K129" s="24" t="n">
        <f aca="false">IF(Search!$B$3="",0,IF($A129="",N(K128),IF(ISNUMBER(SEARCH(Search!$B$3,$A129&amp;"")),N(K128)+1,N(K128))))</f>
        <v>0</v>
      </c>
    </row>
    <row r="130" customFormat="false" ht="15" hidden="false" customHeight="false" outlineLevel="0" collapsed="false">
      <c r="K130" s="24" t="n">
        <f aca="false">IF(Search!$B$3="",0,IF($A130="",N(K129),IF(ISNUMBER(SEARCH(Search!$B$3,$A130&amp;"")),N(K129)+1,N(K129))))</f>
        <v>0</v>
      </c>
    </row>
    <row r="131" customFormat="false" ht="15" hidden="false" customHeight="false" outlineLevel="0" collapsed="false">
      <c r="K131" s="24" t="n">
        <f aca="false">IF(Search!$B$3="",0,IF($A131="",N(K130),IF(ISNUMBER(SEARCH(Search!$B$3,$A131&amp;"")),N(K130)+1,N(K130))))</f>
        <v>0</v>
      </c>
    </row>
    <row r="132" customFormat="false" ht="15" hidden="false" customHeight="false" outlineLevel="0" collapsed="false">
      <c r="K132" s="24" t="n">
        <f aca="false">IF(Search!$B$3="",0,IF($A132="",N(K131),IF(ISNUMBER(SEARCH(Search!$B$3,$A132&amp;"")),N(K131)+1,N(K131))))</f>
        <v>0</v>
      </c>
    </row>
    <row r="133" customFormat="false" ht="15" hidden="false" customHeight="false" outlineLevel="0" collapsed="false">
      <c r="K133" s="24" t="n">
        <f aca="false">IF(Search!$B$3="",0,IF($A133="",N(K132),IF(ISNUMBER(SEARCH(Search!$B$3,$A133&amp;"")),N(K132)+1,N(K132))))</f>
        <v>0</v>
      </c>
    </row>
    <row r="134" customFormat="false" ht="15" hidden="false" customHeight="false" outlineLevel="0" collapsed="false">
      <c r="K134" s="24" t="n">
        <f aca="false">IF(Search!$B$3="",0,IF($A134="",N(K133),IF(ISNUMBER(SEARCH(Search!$B$3,$A134&amp;"")),N(K133)+1,N(K133))))</f>
        <v>0</v>
      </c>
    </row>
    <row r="135" customFormat="false" ht="15" hidden="false" customHeight="false" outlineLevel="0" collapsed="false">
      <c r="K135" s="24" t="n">
        <f aca="false">IF(Search!$B$3="",0,IF($A135="",N(K134),IF(ISNUMBER(SEARCH(Search!$B$3,$A135&amp;"")),N(K134)+1,N(K134))))</f>
        <v>0</v>
      </c>
    </row>
    <row r="136" customFormat="false" ht="15" hidden="false" customHeight="false" outlineLevel="0" collapsed="false">
      <c r="K136" s="24" t="n">
        <f aca="false">IF(Search!$B$3="",0,IF($A136="",N(K135),IF(ISNUMBER(SEARCH(Search!$B$3,$A136&amp;"")),N(K135)+1,N(K135))))</f>
        <v>0</v>
      </c>
    </row>
    <row r="137" customFormat="false" ht="15" hidden="false" customHeight="false" outlineLevel="0" collapsed="false">
      <c r="K137" s="24" t="n">
        <f aca="false">IF(Search!$B$3="",0,IF($A137="",N(K136),IF(ISNUMBER(SEARCH(Search!$B$3,$A137&amp;"")),N(K136)+1,N(K136))))</f>
        <v>0</v>
      </c>
    </row>
    <row r="138" customFormat="false" ht="15" hidden="false" customHeight="false" outlineLevel="0" collapsed="false">
      <c r="K138" s="24" t="n">
        <f aca="false">IF(Search!$B$3="",0,IF($A138="",N(K137),IF(ISNUMBER(SEARCH(Search!$B$3,$A138&amp;"")),N(K137)+1,N(K137))))</f>
        <v>0</v>
      </c>
    </row>
    <row r="139" customFormat="false" ht="15" hidden="false" customHeight="false" outlineLevel="0" collapsed="false">
      <c r="K139" s="24" t="n">
        <f aca="false">IF(Search!$B$3="",0,IF($A139="",N(K138),IF(ISNUMBER(SEARCH(Search!$B$3,$A139&amp;"")),N(K138)+1,N(K138))))</f>
        <v>0</v>
      </c>
    </row>
    <row r="140" customFormat="false" ht="15" hidden="false" customHeight="false" outlineLevel="0" collapsed="false">
      <c r="K140" s="24" t="n">
        <f aca="false">IF(Search!$B$3="",0,IF($A140="",N(K139),IF(ISNUMBER(SEARCH(Search!$B$3,$A140&amp;"")),N(K139)+1,N(K139))))</f>
        <v>0</v>
      </c>
    </row>
    <row r="141" customFormat="false" ht="15" hidden="false" customHeight="false" outlineLevel="0" collapsed="false">
      <c r="K141" s="24" t="n">
        <f aca="false">IF(Search!$B$3="",0,IF($A141="",N(K140),IF(ISNUMBER(SEARCH(Search!$B$3,$A141&amp;"")),N(K140)+1,N(K140))))</f>
        <v>0</v>
      </c>
    </row>
    <row r="142" customFormat="false" ht="15" hidden="false" customHeight="false" outlineLevel="0" collapsed="false">
      <c r="K142" s="24" t="n">
        <f aca="false">IF(Search!$B$3="",0,IF($A142="",N(K141),IF(ISNUMBER(SEARCH(Search!$B$3,$A142&amp;"")),N(K141)+1,N(K141))))</f>
        <v>0</v>
      </c>
    </row>
    <row r="143" customFormat="false" ht="15" hidden="false" customHeight="false" outlineLevel="0" collapsed="false">
      <c r="K143" s="24" t="n">
        <f aca="false">IF(Search!$B$3="",0,IF($A143="",N(K142),IF(ISNUMBER(SEARCH(Search!$B$3,$A143&amp;"")),N(K142)+1,N(K142))))</f>
        <v>0</v>
      </c>
    </row>
    <row r="144" customFormat="false" ht="15" hidden="false" customHeight="false" outlineLevel="0" collapsed="false">
      <c r="K144" s="24" t="n">
        <f aca="false">IF(Search!$B$3="",0,IF($A144="",N(K143),IF(ISNUMBER(SEARCH(Search!$B$3,$A144&amp;"")),N(K143)+1,N(K143))))</f>
        <v>0</v>
      </c>
    </row>
    <row r="145" customFormat="false" ht="15" hidden="false" customHeight="false" outlineLevel="0" collapsed="false">
      <c r="K145" s="24" t="n">
        <f aca="false">IF(Search!$B$3="",0,IF($A145="",N(K144),IF(ISNUMBER(SEARCH(Search!$B$3,$A145&amp;"")),N(K144)+1,N(K144))))</f>
        <v>0</v>
      </c>
    </row>
    <row r="146" customFormat="false" ht="15" hidden="false" customHeight="false" outlineLevel="0" collapsed="false">
      <c r="K146" s="24" t="n">
        <f aca="false">IF(Search!$B$3="",0,IF($A146="",N(K145),IF(ISNUMBER(SEARCH(Search!$B$3,$A146&amp;"")),N(K145)+1,N(K145))))</f>
        <v>0</v>
      </c>
    </row>
    <row r="147" customFormat="false" ht="15" hidden="false" customHeight="false" outlineLevel="0" collapsed="false">
      <c r="K147" s="24" t="n">
        <f aca="false">IF(Search!$B$3="",0,IF($A147="",N(K146),IF(ISNUMBER(SEARCH(Search!$B$3,$A147&amp;"")),N(K146)+1,N(K146))))</f>
        <v>0</v>
      </c>
    </row>
    <row r="148" customFormat="false" ht="15" hidden="false" customHeight="false" outlineLevel="0" collapsed="false">
      <c r="K148" s="24" t="n">
        <f aca="false">IF(Search!$B$3="",0,IF($A148="",N(K147),IF(ISNUMBER(SEARCH(Search!$B$3,$A148&amp;"")),N(K147)+1,N(K147))))</f>
        <v>0</v>
      </c>
    </row>
    <row r="149" customFormat="false" ht="15" hidden="false" customHeight="false" outlineLevel="0" collapsed="false">
      <c r="K149" s="24" t="n">
        <f aca="false">IF(Search!$B$3="",0,IF($A149="",N(K148),IF(ISNUMBER(SEARCH(Search!$B$3,$A149&amp;"")),N(K148)+1,N(K148))))</f>
        <v>0</v>
      </c>
    </row>
    <row r="150" customFormat="false" ht="15" hidden="false" customHeight="false" outlineLevel="0" collapsed="false">
      <c r="K150" s="24" t="n">
        <f aca="false">IF(Search!$B$3="",0,IF($A150="",N(K149),IF(ISNUMBER(SEARCH(Search!$B$3,$A150&amp;"")),N(K149)+1,N(K149))))</f>
        <v>0</v>
      </c>
    </row>
    <row r="151" customFormat="false" ht="15" hidden="false" customHeight="false" outlineLevel="0" collapsed="false">
      <c r="K151" s="24" t="n">
        <f aca="false">IF(Search!$B$3="",0,IF($A151="",N(K150),IF(ISNUMBER(SEARCH(Search!$B$3,$A151&amp;"")),N(K150)+1,N(K150))))</f>
        <v>0</v>
      </c>
    </row>
    <row r="152" customFormat="false" ht="15" hidden="false" customHeight="false" outlineLevel="0" collapsed="false">
      <c r="K152" s="24" t="n">
        <f aca="false">IF(Search!$B$3="",0,IF($A152="",N(K151),IF(ISNUMBER(SEARCH(Search!$B$3,$A152&amp;"")),N(K151)+1,N(K151))))</f>
        <v>0</v>
      </c>
    </row>
    <row r="153" customFormat="false" ht="15" hidden="false" customHeight="false" outlineLevel="0" collapsed="false">
      <c r="K153" s="24" t="n">
        <f aca="false">IF(Search!$B$3="",0,IF($A153="",N(K152),IF(ISNUMBER(SEARCH(Search!$B$3,$A153&amp;"")),N(K152)+1,N(K152))))</f>
        <v>0</v>
      </c>
    </row>
    <row r="154" customFormat="false" ht="15" hidden="false" customHeight="false" outlineLevel="0" collapsed="false">
      <c r="K154" s="24" t="n">
        <f aca="false">IF(Search!$B$3="",0,IF($A154="",N(K153),IF(ISNUMBER(SEARCH(Search!$B$3,$A154&amp;"")),N(K153)+1,N(K153))))</f>
        <v>0</v>
      </c>
    </row>
    <row r="155" customFormat="false" ht="15" hidden="false" customHeight="false" outlineLevel="0" collapsed="false">
      <c r="K155" s="24" t="n">
        <f aca="false">IF(Search!$B$3="",0,IF($A155="",N(K154),IF(ISNUMBER(SEARCH(Search!$B$3,$A155&amp;"")),N(K154)+1,N(K154))))</f>
        <v>0</v>
      </c>
    </row>
    <row r="156" customFormat="false" ht="15" hidden="false" customHeight="false" outlineLevel="0" collapsed="false">
      <c r="K156" s="24" t="n">
        <f aca="false">IF(Search!$B$3="",0,IF($A156="",N(K155),IF(ISNUMBER(SEARCH(Search!$B$3,$A156&amp;"")),N(K155)+1,N(K155))))</f>
        <v>0</v>
      </c>
    </row>
    <row r="157" customFormat="false" ht="15" hidden="false" customHeight="false" outlineLevel="0" collapsed="false">
      <c r="K157" s="24" t="n">
        <f aca="false">IF(Search!$B$3="",0,IF($A157="",N(K156),IF(ISNUMBER(SEARCH(Search!$B$3,$A157&amp;"")),N(K156)+1,N(K156))))</f>
        <v>0</v>
      </c>
    </row>
    <row r="158" customFormat="false" ht="15" hidden="false" customHeight="false" outlineLevel="0" collapsed="false">
      <c r="K158" s="24" t="n">
        <f aca="false">IF(Search!$B$3="",0,IF($A158="",N(K157),IF(ISNUMBER(SEARCH(Search!$B$3,$A158&amp;"")),N(K157)+1,N(K157))))</f>
        <v>0</v>
      </c>
    </row>
    <row r="159" customFormat="false" ht="15" hidden="false" customHeight="false" outlineLevel="0" collapsed="false">
      <c r="K159" s="24" t="n">
        <f aca="false">IF(Search!$B$3="",0,IF($A159="",N(K158),IF(ISNUMBER(SEARCH(Search!$B$3,$A159&amp;"")),N(K158)+1,N(K158))))</f>
        <v>0</v>
      </c>
    </row>
    <row r="160" customFormat="false" ht="15" hidden="false" customHeight="false" outlineLevel="0" collapsed="false">
      <c r="K160" s="24" t="n">
        <f aca="false">IF(Search!$B$3="",0,IF($A160="",N(K159),IF(ISNUMBER(SEARCH(Search!$B$3,$A160&amp;"")),N(K159)+1,N(K159))))</f>
        <v>0</v>
      </c>
    </row>
    <row r="161" customFormat="false" ht="15" hidden="false" customHeight="false" outlineLevel="0" collapsed="false">
      <c r="K161" s="24" t="n">
        <f aca="false">IF(Search!$B$3="",0,IF($A161="",N(K160),IF(ISNUMBER(SEARCH(Search!$B$3,$A161&amp;"")),N(K160)+1,N(K160))))</f>
        <v>0</v>
      </c>
    </row>
    <row r="162" customFormat="false" ht="15" hidden="false" customHeight="false" outlineLevel="0" collapsed="false">
      <c r="K162" s="24" t="n">
        <f aca="false">IF(Search!$B$3="",0,IF($A162="",N(K161),IF(ISNUMBER(SEARCH(Search!$B$3,$A162&amp;"")),N(K161)+1,N(K161))))</f>
        <v>0</v>
      </c>
    </row>
    <row r="163" customFormat="false" ht="15" hidden="false" customHeight="false" outlineLevel="0" collapsed="false">
      <c r="K163" s="24" t="n">
        <f aca="false">IF(Search!$B$3="",0,IF($A163="",N(K162),IF(ISNUMBER(SEARCH(Search!$B$3,$A163&amp;"")),N(K162)+1,N(K162))))</f>
        <v>0</v>
      </c>
    </row>
    <row r="164" customFormat="false" ht="15" hidden="false" customHeight="false" outlineLevel="0" collapsed="false">
      <c r="K164" s="24" t="n">
        <f aca="false">IF(Search!$B$3="",0,IF($A164="",N(K163),IF(ISNUMBER(SEARCH(Search!$B$3,$A164&amp;"")),N(K163)+1,N(K163))))</f>
        <v>0</v>
      </c>
    </row>
    <row r="165" customFormat="false" ht="15" hidden="false" customHeight="false" outlineLevel="0" collapsed="false">
      <c r="K165" s="24" t="n">
        <f aca="false">IF(Search!$B$3="",0,IF($A165="",N(K164),IF(ISNUMBER(SEARCH(Search!$B$3,$A165&amp;"")),N(K164)+1,N(K164))))</f>
        <v>0</v>
      </c>
    </row>
    <row r="166" customFormat="false" ht="15" hidden="false" customHeight="false" outlineLevel="0" collapsed="false">
      <c r="K166" s="24" t="n">
        <f aca="false">IF(Search!$B$3="",0,IF($A166="",N(K165),IF(ISNUMBER(SEARCH(Search!$B$3,$A166&amp;"")),N(K165)+1,N(K165))))</f>
        <v>0</v>
      </c>
    </row>
    <row r="167" customFormat="false" ht="15" hidden="false" customHeight="false" outlineLevel="0" collapsed="false">
      <c r="K167" s="24" t="n">
        <f aca="false">IF(Search!$B$3="",0,IF($A167="",N(K166),IF(ISNUMBER(SEARCH(Search!$B$3,$A167&amp;"")),N(K166)+1,N(K166))))</f>
        <v>0</v>
      </c>
    </row>
    <row r="168" customFormat="false" ht="15" hidden="false" customHeight="false" outlineLevel="0" collapsed="false">
      <c r="K168" s="24" t="n">
        <f aca="false">IF(Search!$B$3="",0,IF($A168="",N(K167),IF(ISNUMBER(SEARCH(Search!$B$3,$A168&amp;"")),N(K167)+1,N(K167))))</f>
        <v>0</v>
      </c>
    </row>
    <row r="169" customFormat="false" ht="15" hidden="false" customHeight="false" outlineLevel="0" collapsed="false">
      <c r="K169" s="24" t="n">
        <f aca="false">IF(Search!$B$3="",0,IF($A169="",N(K168),IF(ISNUMBER(SEARCH(Search!$B$3,$A169&amp;"")),N(K168)+1,N(K168))))</f>
        <v>0</v>
      </c>
    </row>
    <row r="170" customFormat="false" ht="15" hidden="false" customHeight="false" outlineLevel="0" collapsed="false">
      <c r="K170" s="24" t="n">
        <f aca="false">IF(Search!$B$3="",0,IF($A170="",N(K169),IF(ISNUMBER(SEARCH(Search!$B$3,$A170&amp;"")),N(K169)+1,N(K169))))</f>
        <v>0</v>
      </c>
    </row>
    <row r="171" customFormat="false" ht="15" hidden="false" customHeight="false" outlineLevel="0" collapsed="false">
      <c r="K171" s="24" t="n">
        <f aca="false">IF(Search!$B$3="",0,IF($A171="",N(K170),IF(ISNUMBER(SEARCH(Search!$B$3,$A171&amp;"")),N(K170)+1,N(K170))))</f>
        <v>0</v>
      </c>
    </row>
    <row r="172" customFormat="false" ht="15" hidden="false" customHeight="false" outlineLevel="0" collapsed="false">
      <c r="K172" s="24" t="n">
        <f aca="false">IF(Search!$B$3="",0,IF($A172="",N(K171),IF(ISNUMBER(SEARCH(Search!$B$3,$A172&amp;"")),N(K171)+1,N(K171))))</f>
        <v>0</v>
      </c>
    </row>
    <row r="173" customFormat="false" ht="15" hidden="false" customHeight="false" outlineLevel="0" collapsed="false">
      <c r="K173" s="24" t="n">
        <f aca="false">IF(Search!$B$3="",0,IF($A173="",N(K172),IF(ISNUMBER(SEARCH(Search!$B$3,$A173&amp;"")),N(K172)+1,N(K172))))</f>
        <v>0</v>
      </c>
    </row>
    <row r="174" customFormat="false" ht="15" hidden="false" customHeight="false" outlineLevel="0" collapsed="false">
      <c r="K174" s="24" t="n">
        <f aca="false">IF(Search!$B$3="",0,IF($A174="",N(K173),IF(ISNUMBER(SEARCH(Search!$B$3,$A174&amp;"")),N(K173)+1,N(K173))))</f>
        <v>0</v>
      </c>
    </row>
    <row r="175" customFormat="false" ht="15" hidden="false" customHeight="false" outlineLevel="0" collapsed="false">
      <c r="K175" s="24" t="n">
        <f aca="false">IF(Search!$B$3="",0,IF($A175="",N(K174),IF(ISNUMBER(SEARCH(Search!$B$3,$A175&amp;"")),N(K174)+1,N(K174))))</f>
        <v>0</v>
      </c>
    </row>
    <row r="176" customFormat="false" ht="15" hidden="false" customHeight="false" outlineLevel="0" collapsed="false">
      <c r="K176" s="24" t="n">
        <f aca="false">IF(Search!$B$3="",0,IF($A176="",N(K175),IF(ISNUMBER(SEARCH(Search!$B$3,$A176&amp;"")),N(K175)+1,N(K175))))</f>
        <v>0</v>
      </c>
    </row>
    <row r="177" customFormat="false" ht="15" hidden="false" customHeight="false" outlineLevel="0" collapsed="false">
      <c r="K177" s="24" t="n">
        <f aca="false">IF(Search!$B$3="",0,IF($A177="",N(K176),IF(ISNUMBER(SEARCH(Search!$B$3,$A177&amp;"")),N(K176)+1,N(K176))))</f>
        <v>0</v>
      </c>
    </row>
    <row r="178" customFormat="false" ht="15" hidden="false" customHeight="false" outlineLevel="0" collapsed="false">
      <c r="K178" s="24" t="n">
        <f aca="false">IF(Search!$B$3="",0,IF($A178="",N(K177),IF(ISNUMBER(SEARCH(Search!$B$3,$A178&amp;"")),N(K177)+1,N(K177))))</f>
        <v>0</v>
      </c>
    </row>
    <row r="179" customFormat="false" ht="15" hidden="false" customHeight="false" outlineLevel="0" collapsed="false">
      <c r="K179" s="24" t="n">
        <f aca="false">IF(Search!$B$3="",0,IF($A179="",N(K178),IF(ISNUMBER(SEARCH(Search!$B$3,$A179&amp;"")),N(K178)+1,N(K178))))</f>
        <v>0</v>
      </c>
    </row>
    <row r="180" customFormat="false" ht="15" hidden="false" customHeight="false" outlineLevel="0" collapsed="false">
      <c r="K180" s="24" t="n">
        <f aca="false">IF(Search!$B$3="",0,IF($A180="",N(K179),IF(ISNUMBER(SEARCH(Search!$B$3,$A180&amp;"")),N(K179)+1,N(K179))))</f>
        <v>0</v>
      </c>
    </row>
    <row r="181" customFormat="false" ht="15" hidden="false" customHeight="false" outlineLevel="0" collapsed="false">
      <c r="K181" s="24" t="n">
        <f aca="false">IF(Search!$B$3="",0,IF($A181="",N(K180),IF(ISNUMBER(SEARCH(Search!$B$3,$A181&amp;"")),N(K180)+1,N(K180))))</f>
        <v>0</v>
      </c>
    </row>
    <row r="182" customFormat="false" ht="15" hidden="false" customHeight="false" outlineLevel="0" collapsed="false">
      <c r="K182" s="24" t="n">
        <f aca="false">IF(Search!$B$3="",0,IF($A182="",N(K181),IF(ISNUMBER(SEARCH(Search!$B$3,$A182&amp;"")),N(K181)+1,N(K181))))</f>
        <v>0</v>
      </c>
    </row>
    <row r="183" customFormat="false" ht="15" hidden="false" customHeight="false" outlineLevel="0" collapsed="false">
      <c r="K183" s="24" t="n">
        <f aca="false">IF(Search!$B$3="",0,IF($A183="",N(K182),IF(ISNUMBER(SEARCH(Search!$B$3,$A183&amp;"")),N(K182)+1,N(K182))))</f>
        <v>0</v>
      </c>
    </row>
    <row r="184" customFormat="false" ht="15" hidden="false" customHeight="false" outlineLevel="0" collapsed="false">
      <c r="K184" s="24" t="n">
        <f aca="false">IF(Search!$B$3="",0,IF($A184="",N(K183),IF(ISNUMBER(SEARCH(Search!$B$3,$A184&amp;"")),N(K183)+1,N(K183))))</f>
        <v>0</v>
      </c>
    </row>
    <row r="185" customFormat="false" ht="15" hidden="false" customHeight="false" outlineLevel="0" collapsed="false">
      <c r="K185" s="24" t="n">
        <f aca="false">IF(Search!$B$3="",0,IF($A185="",N(K184),IF(ISNUMBER(SEARCH(Search!$B$3,$A185&amp;"")),N(K184)+1,N(K184))))</f>
        <v>0</v>
      </c>
    </row>
    <row r="186" customFormat="false" ht="15" hidden="false" customHeight="false" outlineLevel="0" collapsed="false">
      <c r="K186" s="24" t="n">
        <f aca="false">IF(Search!$B$3="",0,IF($A186="",N(K185),IF(ISNUMBER(SEARCH(Search!$B$3,$A186&amp;"")),N(K185)+1,N(K185))))</f>
        <v>0</v>
      </c>
    </row>
    <row r="187" customFormat="false" ht="15" hidden="false" customHeight="false" outlineLevel="0" collapsed="false">
      <c r="K187" s="24" t="n">
        <f aca="false">IF(Search!$B$3="",0,IF($A187="",N(K186),IF(ISNUMBER(SEARCH(Search!$B$3,$A187&amp;"")),N(K186)+1,N(K186))))</f>
        <v>0</v>
      </c>
    </row>
    <row r="188" customFormat="false" ht="15" hidden="false" customHeight="false" outlineLevel="0" collapsed="false">
      <c r="K188" s="24" t="n">
        <f aca="false">IF(Search!$B$3="",0,IF($A188="",N(K187),IF(ISNUMBER(SEARCH(Search!$B$3,$A188&amp;"")),N(K187)+1,N(K187))))</f>
        <v>0</v>
      </c>
    </row>
    <row r="189" customFormat="false" ht="15" hidden="false" customHeight="false" outlineLevel="0" collapsed="false">
      <c r="K189" s="24" t="n">
        <f aca="false">IF(Search!$B$3="",0,IF($A189="",N(K188),IF(ISNUMBER(SEARCH(Search!$B$3,$A189&amp;"")),N(K188)+1,N(K188))))</f>
        <v>0</v>
      </c>
    </row>
    <row r="190" customFormat="false" ht="15" hidden="false" customHeight="false" outlineLevel="0" collapsed="false">
      <c r="K190" s="24" t="n">
        <f aca="false">IF(Search!$B$3="",0,IF($A190="",N(K189),IF(ISNUMBER(SEARCH(Search!$B$3,$A190&amp;"")),N(K189)+1,N(K189))))</f>
        <v>0</v>
      </c>
    </row>
    <row r="191" customFormat="false" ht="15" hidden="false" customHeight="false" outlineLevel="0" collapsed="false">
      <c r="K191" s="24" t="n">
        <f aca="false">IF(Search!$B$3="",0,IF($A191="",N(K190),IF(ISNUMBER(SEARCH(Search!$B$3,$A191&amp;"")),N(K190)+1,N(K190))))</f>
        <v>0</v>
      </c>
    </row>
    <row r="192" customFormat="false" ht="15" hidden="false" customHeight="false" outlineLevel="0" collapsed="false">
      <c r="K192" s="24" t="n">
        <f aca="false">IF(Search!$B$3="",0,IF($A192="",N(K191),IF(ISNUMBER(SEARCH(Search!$B$3,$A192&amp;"")),N(K191)+1,N(K191))))</f>
        <v>0</v>
      </c>
    </row>
    <row r="193" customFormat="false" ht="15" hidden="false" customHeight="false" outlineLevel="0" collapsed="false">
      <c r="K193" s="24" t="n">
        <f aca="false">IF(Search!$B$3="",0,IF($A193="",N(K192),IF(ISNUMBER(SEARCH(Search!$B$3,$A193&amp;"")),N(K192)+1,N(K192))))</f>
        <v>0</v>
      </c>
    </row>
    <row r="194" customFormat="false" ht="15" hidden="false" customHeight="false" outlineLevel="0" collapsed="false">
      <c r="K194" s="24" t="n">
        <f aca="false">IF(Search!$B$3="",0,IF($A194="",N(K193),IF(ISNUMBER(SEARCH(Search!$B$3,$A194&amp;"")),N(K193)+1,N(K193))))</f>
        <v>0</v>
      </c>
    </row>
    <row r="195" customFormat="false" ht="15" hidden="false" customHeight="false" outlineLevel="0" collapsed="false">
      <c r="K195" s="24" t="n">
        <f aca="false">IF(Search!$B$3="",0,IF($A195="",N(K194),IF(ISNUMBER(SEARCH(Search!$B$3,$A195&amp;"")),N(K194)+1,N(K194))))</f>
        <v>0</v>
      </c>
    </row>
    <row r="196" customFormat="false" ht="15" hidden="false" customHeight="false" outlineLevel="0" collapsed="false">
      <c r="K196" s="24" t="n">
        <f aca="false">IF(Search!$B$3="",0,IF($A196="",N(K195),IF(ISNUMBER(SEARCH(Search!$B$3,$A196&amp;"")),N(K195)+1,N(K195))))</f>
        <v>0</v>
      </c>
    </row>
    <row r="197" customFormat="false" ht="15" hidden="false" customHeight="false" outlineLevel="0" collapsed="false">
      <c r="K197" s="24" t="n">
        <f aca="false">IF(Search!$B$3="",0,IF($A197="",N(K196),IF(ISNUMBER(SEARCH(Search!$B$3,$A197&amp;"")),N(K196)+1,N(K196))))</f>
        <v>0</v>
      </c>
    </row>
    <row r="198" customFormat="false" ht="15" hidden="false" customHeight="false" outlineLevel="0" collapsed="false">
      <c r="K198" s="24" t="n">
        <f aca="false">IF(Search!$B$3="",0,IF($A198="",N(K197),IF(ISNUMBER(SEARCH(Search!$B$3,$A198&amp;"")),N(K197)+1,N(K197))))</f>
        <v>0</v>
      </c>
    </row>
    <row r="199" customFormat="false" ht="15" hidden="false" customHeight="false" outlineLevel="0" collapsed="false">
      <c r="K199" s="24" t="n">
        <f aca="false">IF(Search!$B$3="",0,IF($A199="",N(K198),IF(ISNUMBER(SEARCH(Search!$B$3,$A199&amp;"")),N(K198)+1,N(K198))))</f>
        <v>0</v>
      </c>
    </row>
    <row r="200" customFormat="false" ht="15" hidden="false" customHeight="false" outlineLevel="0" collapsed="false">
      <c r="K200" s="24" t="n">
        <f aca="false">IF(Search!$B$3="",0,IF($A200="",N(K199),IF(ISNUMBER(SEARCH(Search!$B$3,$A200&amp;"")),N(K199)+1,N(K199))))</f>
        <v>0</v>
      </c>
    </row>
    <row r="201" customFormat="false" ht="15" hidden="false" customHeight="false" outlineLevel="0" collapsed="false">
      <c r="K201" s="24" t="n">
        <f aca="false">IF(Search!$B$3="",0,IF($A201="",N(K200),IF(ISNUMBER(SEARCH(Search!$B$3,$A201&amp;"")),N(K200)+1,N(K200))))</f>
        <v>0</v>
      </c>
    </row>
    <row r="202" customFormat="false" ht="15" hidden="false" customHeight="false" outlineLevel="0" collapsed="false">
      <c r="K202" s="24" t="n">
        <f aca="false">IF(Search!$B$3="",0,IF($A202="",N(K201),IF(ISNUMBER(SEARCH(Search!$B$3,$A202&amp;"")),N(K201)+1,N(K201))))</f>
        <v>0</v>
      </c>
    </row>
    <row r="203" customFormat="false" ht="15" hidden="false" customHeight="false" outlineLevel="0" collapsed="false">
      <c r="K203" s="24" t="n">
        <f aca="false">IF(Search!$B$3="",0,IF($A203="",N(K202),IF(ISNUMBER(SEARCH(Search!$B$3,$A203&amp;"")),N(K202)+1,N(K202))))</f>
        <v>0</v>
      </c>
    </row>
    <row r="204" customFormat="false" ht="15" hidden="false" customHeight="false" outlineLevel="0" collapsed="false">
      <c r="K204" s="24" t="n">
        <f aca="false">IF(Search!$B$3="",0,IF($A204="",N(K203),IF(ISNUMBER(SEARCH(Search!$B$3,$A204&amp;"")),N(K203)+1,N(K203))))</f>
        <v>0</v>
      </c>
    </row>
    <row r="205" customFormat="false" ht="15" hidden="false" customHeight="false" outlineLevel="0" collapsed="false">
      <c r="K205" s="24" t="n">
        <f aca="false">IF(Search!$B$3="",0,IF($A205="",N(K204),IF(ISNUMBER(SEARCH(Search!$B$3,$A205&amp;"")),N(K204)+1,N(K204))))</f>
        <v>0</v>
      </c>
    </row>
    <row r="206" customFormat="false" ht="15" hidden="false" customHeight="false" outlineLevel="0" collapsed="false">
      <c r="K206" s="24" t="n">
        <f aca="false">IF(Search!$B$3="",0,IF($A206="",N(K205),IF(ISNUMBER(SEARCH(Search!$B$3,$A206&amp;"")),N(K205)+1,N(K205))))</f>
        <v>0</v>
      </c>
    </row>
    <row r="207" customFormat="false" ht="15" hidden="false" customHeight="false" outlineLevel="0" collapsed="false">
      <c r="K207" s="24" t="n">
        <f aca="false">IF(Search!$B$3="",0,IF($A207="",N(K206),IF(ISNUMBER(SEARCH(Search!$B$3,$A207&amp;"")),N(K206)+1,N(K206))))</f>
        <v>0</v>
      </c>
    </row>
    <row r="208" customFormat="false" ht="15" hidden="false" customHeight="false" outlineLevel="0" collapsed="false">
      <c r="K208" s="24" t="n">
        <f aca="false">IF(Search!$B$3="",0,IF($A208="",N(K207),IF(ISNUMBER(SEARCH(Search!$B$3,$A208&amp;"")),N(K207)+1,N(K207))))</f>
        <v>0</v>
      </c>
    </row>
    <row r="209" customFormat="false" ht="15" hidden="false" customHeight="false" outlineLevel="0" collapsed="false">
      <c r="K209" s="24" t="n">
        <f aca="false">IF(Search!$B$3="",0,IF($A209="",N(K208),IF(ISNUMBER(SEARCH(Search!$B$3,$A209&amp;"")),N(K208)+1,N(K208))))</f>
        <v>0</v>
      </c>
    </row>
    <row r="210" customFormat="false" ht="15" hidden="false" customHeight="false" outlineLevel="0" collapsed="false">
      <c r="K210" s="24" t="n">
        <f aca="false">IF(Search!$B$3="",0,IF($A210="",N(K209),IF(ISNUMBER(SEARCH(Search!$B$3,$A210&amp;"")),N(K209)+1,N(K209))))</f>
        <v>0</v>
      </c>
    </row>
    <row r="211" customFormat="false" ht="15" hidden="false" customHeight="false" outlineLevel="0" collapsed="false">
      <c r="K211" s="24" t="n">
        <f aca="false">IF(Search!$B$3="",0,IF($A211="",N(K210),IF(ISNUMBER(SEARCH(Search!$B$3,$A211&amp;"")),N(K210)+1,N(K210))))</f>
        <v>0</v>
      </c>
    </row>
    <row r="212" customFormat="false" ht="15" hidden="false" customHeight="false" outlineLevel="0" collapsed="false">
      <c r="K212" s="24" t="n">
        <f aca="false">IF(Search!$B$3="",0,IF($A212="",N(K211),IF(ISNUMBER(SEARCH(Search!$B$3,$A212&amp;"")),N(K211)+1,N(K211))))</f>
        <v>0</v>
      </c>
    </row>
    <row r="213" customFormat="false" ht="15" hidden="false" customHeight="false" outlineLevel="0" collapsed="false">
      <c r="K213" s="24" t="n">
        <f aca="false">IF(Search!$B$3="",0,IF($A213="",N(K212),IF(ISNUMBER(SEARCH(Search!$B$3,$A213&amp;"")),N(K212)+1,N(K212))))</f>
        <v>0</v>
      </c>
    </row>
    <row r="214" customFormat="false" ht="15" hidden="false" customHeight="false" outlineLevel="0" collapsed="false">
      <c r="K214" s="24" t="n">
        <f aca="false">IF(Search!$B$3="",0,IF($A214="",N(K213),IF(ISNUMBER(SEARCH(Search!$B$3,$A214&amp;"")),N(K213)+1,N(K213))))</f>
        <v>0</v>
      </c>
    </row>
    <row r="215" customFormat="false" ht="15" hidden="false" customHeight="false" outlineLevel="0" collapsed="false">
      <c r="K215" s="24" t="n">
        <f aca="false">IF(Search!$B$3="",0,IF($A215="",N(K214),IF(ISNUMBER(SEARCH(Search!$B$3,$A215&amp;"")),N(K214)+1,N(K214))))</f>
        <v>0</v>
      </c>
    </row>
    <row r="216" customFormat="false" ht="15" hidden="false" customHeight="false" outlineLevel="0" collapsed="false">
      <c r="K216" s="24" t="n">
        <f aca="false">IF(Search!$B$3="",0,IF($A216="",N(K215),IF(ISNUMBER(SEARCH(Search!$B$3,$A216&amp;"")),N(K215)+1,N(K215))))</f>
        <v>0</v>
      </c>
    </row>
    <row r="217" customFormat="false" ht="15" hidden="false" customHeight="false" outlineLevel="0" collapsed="false">
      <c r="K217" s="24" t="n">
        <f aca="false">IF(Search!$B$3="",0,IF($A217="",N(K216),IF(ISNUMBER(SEARCH(Search!$B$3,$A217&amp;"")),N(K216)+1,N(K216))))</f>
        <v>0</v>
      </c>
    </row>
    <row r="218" customFormat="false" ht="15" hidden="false" customHeight="false" outlineLevel="0" collapsed="false">
      <c r="K218" s="24" t="n">
        <f aca="false">IF(Search!$B$3="",0,IF($A218="",N(K217),IF(ISNUMBER(SEARCH(Search!$B$3,$A218&amp;"")),N(K217)+1,N(K217))))</f>
        <v>0</v>
      </c>
    </row>
    <row r="219" customFormat="false" ht="15" hidden="false" customHeight="false" outlineLevel="0" collapsed="false">
      <c r="K219" s="24" t="n">
        <f aca="false">IF(Search!$B$3="",0,IF($A219="",N(K218),IF(ISNUMBER(SEARCH(Search!$B$3,$A219&amp;"")),N(K218)+1,N(K218))))</f>
        <v>0</v>
      </c>
    </row>
    <row r="220" customFormat="false" ht="15" hidden="false" customHeight="false" outlineLevel="0" collapsed="false">
      <c r="K220" s="24" t="n">
        <f aca="false">IF(Search!$B$3="",0,IF($A220="",N(K219),IF(ISNUMBER(SEARCH(Search!$B$3,$A220&amp;"")),N(K219)+1,N(K219))))</f>
        <v>0</v>
      </c>
    </row>
    <row r="221" customFormat="false" ht="15" hidden="false" customHeight="false" outlineLevel="0" collapsed="false">
      <c r="K221" s="24" t="n">
        <f aca="false">IF(Search!$B$3="",0,IF($A221="",N(K220),IF(ISNUMBER(SEARCH(Search!$B$3,$A221&amp;"")),N(K220)+1,N(K220))))</f>
        <v>0</v>
      </c>
    </row>
    <row r="222" customFormat="false" ht="15" hidden="false" customHeight="false" outlineLevel="0" collapsed="false">
      <c r="K222" s="24" t="n">
        <f aca="false">IF(Search!$B$3="",0,IF($A222="",N(K221),IF(ISNUMBER(SEARCH(Search!$B$3,$A222&amp;"")),N(K221)+1,N(K221))))</f>
        <v>0</v>
      </c>
    </row>
    <row r="223" customFormat="false" ht="15" hidden="false" customHeight="false" outlineLevel="0" collapsed="false">
      <c r="K223" s="24" t="n">
        <f aca="false">IF(Search!$B$3="",0,IF($A223="",N(K222),IF(ISNUMBER(SEARCH(Search!$B$3,$A223&amp;"")),N(K222)+1,N(K222))))</f>
        <v>0</v>
      </c>
    </row>
    <row r="224" customFormat="false" ht="15" hidden="false" customHeight="false" outlineLevel="0" collapsed="false">
      <c r="K224" s="24" t="n">
        <f aca="false">IF(Search!$B$3="",0,IF($A224="",N(K223),IF(ISNUMBER(SEARCH(Search!$B$3,$A224&amp;"")),N(K223)+1,N(K223))))</f>
        <v>0</v>
      </c>
    </row>
    <row r="225" customFormat="false" ht="15" hidden="false" customHeight="false" outlineLevel="0" collapsed="false">
      <c r="K225" s="24" t="n">
        <f aca="false">IF(Search!$B$3="",0,IF($A225="",N(K224),IF(ISNUMBER(SEARCH(Search!$B$3,$A225&amp;"")),N(K224)+1,N(K224))))</f>
        <v>0</v>
      </c>
    </row>
    <row r="226" customFormat="false" ht="15" hidden="false" customHeight="false" outlineLevel="0" collapsed="false">
      <c r="K226" s="24" t="n">
        <f aca="false">IF(Search!$B$3="",0,IF($A226="",N(K225),IF(ISNUMBER(SEARCH(Search!$B$3,$A226&amp;"")),N(K225)+1,N(K225))))</f>
        <v>0</v>
      </c>
    </row>
    <row r="227" customFormat="false" ht="15" hidden="false" customHeight="false" outlineLevel="0" collapsed="false">
      <c r="K227" s="24" t="n">
        <f aca="false">IF(Search!$B$3="",0,IF($A227="",N(K226),IF(ISNUMBER(SEARCH(Search!$B$3,$A227&amp;"")),N(K226)+1,N(K226))))</f>
        <v>0</v>
      </c>
    </row>
    <row r="228" customFormat="false" ht="15" hidden="false" customHeight="false" outlineLevel="0" collapsed="false">
      <c r="K228" s="24" t="n">
        <f aca="false">IF(Search!$B$3="",0,IF($A228="",N(K227),IF(ISNUMBER(SEARCH(Search!$B$3,$A228&amp;"")),N(K227)+1,N(K227))))</f>
        <v>0</v>
      </c>
    </row>
    <row r="229" customFormat="false" ht="15" hidden="false" customHeight="false" outlineLevel="0" collapsed="false">
      <c r="K229" s="24" t="n">
        <f aca="false">IF(Search!$B$3="",0,IF($A229="",N(K228),IF(ISNUMBER(SEARCH(Search!$B$3,$A229&amp;"")),N(K228)+1,N(K228))))</f>
        <v>0</v>
      </c>
    </row>
    <row r="230" customFormat="false" ht="15" hidden="false" customHeight="false" outlineLevel="0" collapsed="false">
      <c r="K230" s="24" t="n">
        <f aca="false">IF(Search!$B$3="",0,IF($A230="",N(K229),IF(ISNUMBER(SEARCH(Search!$B$3,$A230&amp;"")),N(K229)+1,N(K229))))</f>
        <v>0</v>
      </c>
    </row>
    <row r="231" customFormat="false" ht="15" hidden="false" customHeight="false" outlineLevel="0" collapsed="false">
      <c r="K231" s="24" t="n">
        <f aca="false">IF(Search!$B$3="",0,IF($A231="",N(K230),IF(ISNUMBER(SEARCH(Search!$B$3,$A231&amp;"")),N(K230)+1,N(K230))))</f>
        <v>0</v>
      </c>
    </row>
    <row r="232" customFormat="false" ht="15" hidden="false" customHeight="false" outlineLevel="0" collapsed="false">
      <c r="K232" s="24" t="n">
        <f aca="false">IF(Search!$B$3="",0,IF($A232="",N(K231),IF(ISNUMBER(SEARCH(Search!$B$3,$A232&amp;"")),N(K231)+1,N(K231))))</f>
        <v>0</v>
      </c>
    </row>
    <row r="233" customFormat="false" ht="15" hidden="false" customHeight="false" outlineLevel="0" collapsed="false">
      <c r="K233" s="24" t="n">
        <f aca="false">IF(Search!$B$3="",0,IF($A233="",N(K232),IF(ISNUMBER(SEARCH(Search!$B$3,$A233&amp;"")),N(K232)+1,N(K232))))</f>
        <v>0</v>
      </c>
    </row>
    <row r="234" customFormat="false" ht="15" hidden="false" customHeight="false" outlineLevel="0" collapsed="false">
      <c r="K234" s="24" t="n">
        <f aca="false">IF(Search!$B$3="",0,IF($A234="",N(K233),IF(ISNUMBER(SEARCH(Search!$B$3,$A234&amp;"")),N(K233)+1,N(K233))))</f>
        <v>0</v>
      </c>
    </row>
    <row r="235" customFormat="false" ht="15" hidden="false" customHeight="false" outlineLevel="0" collapsed="false">
      <c r="K235" s="24" t="n">
        <f aca="false">IF(Search!$B$3="",0,IF($A235="",N(K234),IF(ISNUMBER(SEARCH(Search!$B$3,$A235&amp;"")),N(K234)+1,N(K234))))</f>
        <v>0</v>
      </c>
    </row>
    <row r="236" customFormat="false" ht="15" hidden="false" customHeight="false" outlineLevel="0" collapsed="false">
      <c r="K236" s="24" t="n">
        <f aca="false">IF(Search!$B$3="",0,IF($A236="",N(K235),IF(ISNUMBER(SEARCH(Search!$B$3,$A236&amp;"")),N(K235)+1,N(K235))))</f>
        <v>0</v>
      </c>
    </row>
    <row r="237" customFormat="false" ht="15" hidden="false" customHeight="false" outlineLevel="0" collapsed="false">
      <c r="K237" s="24" t="n">
        <f aca="false">IF(Search!$B$3="",0,IF($A237="",N(K236),IF(ISNUMBER(SEARCH(Search!$B$3,$A237&amp;"")),N(K236)+1,N(K236))))</f>
        <v>0</v>
      </c>
    </row>
    <row r="238" customFormat="false" ht="15" hidden="false" customHeight="false" outlineLevel="0" collapsed="false">
      <c r="K238" s="24" t="n">
        <f aca="false">IF(Search!$B$3="",0,IF($A238="",N(K237),IF(ISNUMBER(SEARCH(Search!$B$3,$A238&amp;"")),N(K237)+1,N(K237))))</f>
        <v>0</v>
      </c>
    </row>
    <row r="239" customFormat="false" ht="15" hidden="false" customHeight="false" outlineLevel="0" collapsed="false">
      <c r="K239" s="24" t="n">
        <f aca="false">IF(Search!$B$3="",0,IF($A239="",N(K238),IF(ISNUMBER(SEARCH(Search!$B$3,$A239&amp;"")),N(K238)+1,N(K238))))</f>
        <v>0</v>
      </c>
    </row>
    <row r="240" customFormat="false" ht="15" hidden="false" customHeight="false" outlineLevel="0" collapsed="false">
      <c r="K240" s="24" t="n">
        <f aca="false">IF(Search!$B$3="",0,IF($A240="",N(K239),IF(ISNUMBER(SEARCH(Search!$B$3,$A240&amp;"")),N(K239)+1,N(K239))))</f>
        <v>0</v>
      </c>
    </row>
    <row r="241" customFormat="false" ht="15" hidden="false" customHeight="false" outlineLevel="0" collapsed="false">
      <c r="K241" s="24" t="n">
        <f aca="false">IF(Search!$B$3="",0,IF($A241="",N(K240),IF(ISNUMBER(SEARCH(Search!$B$3,$A241&amp;"")),N(K240)+1,N(K240))))</f>
        <v>0</v>
      </c>
    </row>
    <row r="242" customFormat="false" ht="15" hidden="false" customHeight="false" outlineLevel="0" collapsed="false">
      <c r="K242" s="24" t="n">
        <f aca="false">IF(Search!$B$3="",0,IF($A242="",N(K241),IF(ISNUMBER(SEARCH(Search!$B$3,$A242&amp;"")),N(K241)+1,N(K241))))</f>
        <v>0</v>
      </c>
    </row>
    <row r="243" customFormat="false" ht="15" hidden="false" customHeight="false" outlineLevel="0" collapsed="false">
      <c r="K243" s="24" t="n">
        <f aca="false">IF(Search!$B$3="",0,IF($A243="",N(K242),IF(ISNUMBER(SEARCH(Search!$B$3,$A243&amp;"")),N(K242)+1,N(K242))))</f>
        <v>0</v>
      </c>
    </row>
    <row r="244" customFormat="false" ht="15" hidden="false" customHeight="false" outlineLevel="0" collapsed="false">
      <c r="K244" s="24" t="n">
        <f aca="false">IF(Search!$B$3="",0,IF($A244="",N(K243),IF(ISNUMBER(SEARCH(Search!$B$3,$A244&amp;"")),N(K243)+1,N(K243))))</f>
        <v>0</v>
      </c>
    </row>
    <row r="245" customFormat="false" ht="15" hidden="false" customHeight="false" outlineLevel="0" collapsed="false">
      <c r="K245" s="24" t="n">
        <f aca="false">IF(Search!$B$3="",0,IF($A245="",N(K244),IF(ISNUMBER(SEARCH(Search!$B$3,$A245&amp;"")),N(K244)+1,N(K244))))</f>
        <v>0</v>
      </c>
    </row>
    <row r="246" customFormat="false" ht="15" hidden="false" customHeight="false" outlineLevel="0" collapsed="false">
      <c r="K246" s="24" t="n">
        <f aca="false">IF(Search!$B$3="",0,IF($A246="",N(K245),IF(ISNUMBER(SEARCH(Search!$B$3,$A246&amp;"")),N(K245)+1,N(K245))))</f>
        <v>0</v>
      </c>
    </row>
    <row r="247" customFormat="false" ht="15" hidden="false" customHeight="false" outlineLevel="0" collapsed="false">
      <c r="K247" s="24" t="n">
        <f aca="false">IF(Search!$B$3="",0,IF($A247="",N(K246),IF(ISNUMBER(SEARCH(Search!$B$3,$A247&amp;"")),N(K246)+1,N(K246))))</f>
        <v>0</v>
      </c>
    </row>
    <row r="248" customFormat="false" ht="15" hidden="false" customHeight="false" outlineLevel="0" collapsed="false">
      <c r="K248" s="24" t="n">
        <f aca="false">IF(Search!$B$3="",0,IF($A248="",N(K247),IF(ISNUMBER(SEARCH(Search!$B$3,$A248&amp;"")),N(K247)+1,N(K247))))</f>
        <v>0</v>
      </c>
    </row>
    <row r="249" customFormat="false" ht="15" hidden="false" customHeight="false" outlineLevel="0" collapsed="false">
      <c r="K249" s="24" t="n">
        <f aca="false">IF(Search!$B$3="",0,IF($A249="",N(K248),IF(ISNUMBER(SEARCH(Search!$B$3,$A249&amp;"")),N(K248)+1,N(K248))))</f>
        <v>0</v>
      </c>
    </row>
    <row r="250" customFormat="false" ht="15" hidden="false" customHeight="false" outlineLevel="0" collapsed="false">
      <c r="K250" s="24" t="n">
        <f aca="false">IF(Search!$B$3="",0,IF($A250="",N(K249),IF(ISNUMBER(SEARCH(Search!$B$3,$A250&amp;"")),N(K249)+1,N(K249))))</f>
        <v>0</v>
      </c>
    </row>
    <row r="251" customFormat="false" ht="15" hidden="false" customHeight="false" outlineLevel="0" collapsed="false">
      <c r="K251" s="24" t="n">
        <f aca="false">IF(Search!$B$3="",0,IF($A251="",N(K250),IF(ISNUMBER(SEARCH(Search!$B$3,$A251&amp;"")),N(K250)+1,N(K250))))</f>
        <v>0</v>
      </c>
    </row>
    <row r="252" customFormat="false" ht="15" hidden="false" customHeight="false" outlineLevel="0" collapsed="false">
      <c r="K252" s="24" t="n">
        <f aca="false">IF(Search!$B$3="",0,IF($A252="",N(K251),IF(ISNUMBER(SEARCH(Search!$B$3,$A252&amp;"")),N(K251)+1,N(K251))))</f>
        <v>0</v>
      </c>
    </row>
    <row r="253" customFormat="false" ht="15" hidden="false" customHeight="false" outlineLevel="0" collapsed="false">
      <c r="K253" s="24" t="n">
        <f aca="false">IF(Search!$B$3="",0,IF($A253="",N(K252),IF(ISNUMBER(SEARCH(Search!$B$3,$A253&amp;"")),N(K252)+1,N(K252))))</f>
        <v>0</v>
      </c>
    </row>
    <row r="254" customFormat="false" ht="15" hidden="false" customHeight="false" outlineLevel="0" collapsed="false">
      <c r="K254" s="24" t="n">
        <f aca="false">IF(Search!$B$3="",0,IF($A254="",N(K253),IF(ISNUMBER(SEARCH(Search!$B$3,$A254&amp;"")),N(K253)+1,N(K253))))</f>
        <v>0</v>
      </c>
    </row>
    <row r="255" customFormat="false" ht="15" hidden="false" customHeight="false" outlineLevel="0" collapsed="false">
      <c r="K255" s="24" t="n">
        <f aca="false">IF(Search!$B$3="",0,IF($A255="",N(K254),IF(ISNUMBER(SEARCH(Search!$B$3,$A255&amp;"")),N(K254)+1,N(K254))))</f>
        <v>0</v>
      </c>
    </row>
    <row r="256" customFormat="false" ht="15" hidden="false" customHeight="false" outlineLevel="0" collapsed="false">
      <c r="K256" s="24" t="n">
        <f aca="false">IF(Search!$B$3="",0,IF($A256="",N(K255),IF(ISNUMBER(SEARCH(Search!$B$3,$A256&amp;"")),N(K255)+1,N(K255))))</f>
        <v>0</v>
      </c>
    </row>
    <row r="257" customFormat="false" ht="15" hidden="false" customHeight="false" outlineLevel="0" collapsed="false">
      <c r="K257" s="24" t="n">
        <f aca="false">IF(Search!$B$3="",0,IF($A257="",N(K256),IF(ISNUMBER(SEARCH(Search!$B$3,$A257&amp;"")),N(K256)+1,N(K256))))</f>
        <v>0</v>
      </c>
    </row>
    <row r="258" customFormat="false" ht="15" hidden="false" customHeight="false" outlineLevel="0" collapsed="false">
      <c r="K258" s="24" t="n">
        <f aca="false">IF(Search!$B$3="",0,IF($A258="",N(K257),IF(ISNUMBER(SEARCH(Search!$B$3,$A258&amp;"")),N(K257)+1,N(K257))))</f>
        <v>0</v>
      </c>
    </row>
    <row r="259" customFormat="false" ht="15" hidden="false" customHeight="false" outlineLevel="0" collapsed="false">
      <c r="K259" s="24" t="n">
        <f aca="false">IF(Search!$B$3="",0,IF($A259="",N(K258),IF(ISNUMBER(SEARCH(Search!$B$3,$A259&amp;"")),N(K258)+1,N(K258))))</f>
        <v>0</v>
      </c>
    </row>
    <row r="260" customFormat="false" ht="15" hidden="false" customHeight="false" outlineLevel="0" collapsed="false">
      <c r="K260" s="24" t="n">
        <f aca="false">IF(Search!$B$3="",0,IF($A260="",N(K259),IF(ISNUMBER(SEARCH(Search!$B$3,$A260&amp;"")),N(K259)+1,N(K259))))</f>
        <v>0</v>
      </c>
    </row>
    <row r="261" customFormat="false" ht="15" hidden="false" customHeight="false" outlineLevel="0" collapsed="false">
      <c r="K261" s="24" t="n">
        <f aca="false">IF(Search!$B$3="",0,IF($A261="",N(K260),IF(ISNUMBER(SEARCH(Search!$B$3,$A261&amp;"")),N(K260)+1,N(K260))))</f>
        <v>0</v>
      </c>
    </row>
    <row r="262" customFormat="false" ht="15" hidden="false" customHeight="false" outlineLevel="0" collapsed="false">
      <c r="K262" s="24" t="n">
        <f aca="false">IF(Search!$B$3="",0,IF($A262="",N(K261),IF(ISNUMBER(SEARCH(Search!$B$3,$A262&amp;"")),N(K261)+1,N(K261))))</f>
        <v>0</v>
      </c>
    </row>
    <row r="263" customFormat="false" ht="15" hidden="false" customHeight="false" outlineLevel="0" collapsed="false">
      <c r="K263" s="24" t="n">
        <f aca="false">IF(Search!$B$3="",0,IF($A263="",N(K262),IF(ISNUMBER(SEARCH(Search!$B$3,$A263&amp;"")),N(K262)+1,N(K262))))</f>
        <v>0</v>
      </c>
    </row>
    <row r="264" customFormat="false" ht="15" hidden="false" customHeight="false" outlineLevel="0" collapsed="false">
      <c r="K264" s="24" t="n">
        <f aca="false">IF(Search!$B$3="",0,IF($A264="",N(K263),IF(ISNUMBER(SEARCH(Search!$B$3,$A264&amp;"")),N(K263)+1,N(K263))))</f>
        <v>0</v>
      </c>
    </row>
    <row r="265" customFormat="false" ht="15" hidden="false" customHeight="false" outlineLevel="0" collapsed="false">
      <c r="K265" s="24" t="n">
        <f aca="false">IF(Search!$B$3="",0,IF($A265="",N(K264),IF(ISNUMBER(SEARCH(Search!$B$3,$A265&amp;"")),N(K264)+1,N(K264))))</f>
        <v>0</v>
      </c>
    </row>
    <row r="266" customFormat="false" ht="15" hidden="false" customHeight="false" outlineLevel="0" collapsed="false">
      <c r="K266" s="24" t="n">
        <f aca="false">IF(Search!$B$3="",0,IF($A266="",N(K265),IF(ISNUMBER(SEARCH(Search!$B$3,$A266&amp;"")),N(K265)+1,N(K265))))</f>
        <v>0</v>
      </c>
    </row>
    <row r="267" customFormat="false" ht="15" hidden="false" customHeight="false" outlineLevel="0" collapsed="false">
      <c r="K267" s="24" t="n">
        <f aca="false">IF(Search!$B$3="",0,IF($A267="",N(K266),IF(ISNUMBER(SEARCH(Search!$B$3,$A267&amp;"")),N(K266)+1,N(K266))))</f>
        <v>0</v>
      </c>
    </row>
    <row r="268" customFormat="false" ht="15" hidden="false" customHeight="false" outlineLevel="0" collapsed="false">
      <c r="K268" s="24" t="n">
        <f aca="false">IF(Search!$B$3="",0,IF($A268="",N(K267),IF(ISNUMBER(SEARCH(Search!$B$3,$A268&amp;"")),N(K267)+1,N(K267))))</f>
        <v>0</v>
      </c>
    </row>
    <row r="269" customFormat="false" ht="15" hidden="false" customHeight="false" outlineLevel="0" collapsed="false">
      <c r="K269" s="24" t="n">
        <f aca="false">IF(Search!$B$3="",0,IF($A269="",N(K268),IF(ISNUMBER(SEARCH(Search!$B$3,$A269&amp;"")),N(K268)+1,N(K268))))</f>
        <v>0</v>
      </c>
    </row>
    <row r="270" customFormat="false" ht="15" hidden="false" customHeight="false" outlineLevel="0" collapsed="false">
      <c r="K270" s="24" t="n">
        <f aca="false">IF(Search!$B$3="",0,IF($A270="",N(K269),IF(ISNUMBER(SEARCH(Search!$B$3,$A270&amp;"")),N(K269)+1,N(K269))))</f>
        <v>0</v>
      </c>
    </row>
    <row r="271" customFormat="false" ht="15" hidden="false" customHeight="false" outlineLevel="0" collapsed="false">
      <c r="K271" s="24" t="n">
        <f aca="false">IF(Search!$B$3="",0,IF($A271="",N(K270),IF(ISNUMBER(SEARCH(Search!$B$3,$A271&amp;"")),N(K270)+1,N(K270))))</f>
        <v>0</v>
      </c>
    </row>
    <row r="272" customFormat="false" ht="15" hidden="false" customHeight="false" outlineLevel="0" collapsed="false">
      <c r="K272" s="24" t="n">
        <f aca="false">IF(Search!$B$3="",0,IF($A272="",N(K271),IF(ISNUMBER(SEARCH(Search!$B$3,$A272&amp;"")),N(K271)+1,N(K271))))</f>
        <v>0</v>
      </c>
    </row>
    <row r="273" customFormat="false" ht="15" hidden="false" customHeight="false" outlineLevel="0" collapsed="false">
      <c r="K273" s="24" t="n">
        <f aca="false">IF(Search!$B$3="",0,IF($A273="",N(K272),IF(ISNUMBER(SEARCH(Search!$B$3,$A273&amp;"")),N(K272)+1,N(K272))))</f>
        <v>0</v>
      </c>
    </row>
    <row r="274" customFormat="false" ht="15" hidden="false" customHeight="false" outlineLevel="0" collapsed="false">
      <c r="K274" s="24" t="n">
        <f aca="false">IF(Search!$B$3="",0,IF($A274="",N(K273),IF(ISNUMBER(SEARCH(Search!$B$3,$A274&amp;"")),N(K273)+1,N(K273))))</f>
        <v>0</v>
      </c>
    </row>
    <row r="275" customFormat="false" ht="15" hidden="false" customHeight="false" outlineLevel="0" collapsed="false">
      <c r="K275" s="24" t="n">
        <f aca="false">IF(Search!$B$3="",0,IF($A275="",N(K274),IF(ISNUMBER(SEARCH(Search!$B$3,$A275&amp;"")),N(K274)+1,N(K274))))</f>
        <v>0</v>
      </c>
    </row>
    <row r="276" customFormat="false" ht="15" hidden="false" customHeight="false" outlineLevel="0" collapsed="false">
      <c r="K276" s="24" t="n">
        <f aca="false">IF(Search!$B$3="",0,IF($A276="",N(K275),IF(ISNUMBER(SEARCH(Search!$B$3,$A276&amp;"")),N(K275)+1,N(K275))))</f>
        <v>0</v>
      </c>
    </row>
    <row r="277" customFormat="false" ht="15" hidden="false" customHeight="false" outlineLevel="0" collapsed="false">
      <c r="K277" s="24" t="n">
        <f aca="false">IF(Search!$B$3="",0,IF($A277="",N(K276),IF(ISNUMBER(SEARCH(Search!$B$3,$A277&amp;"")),N(K276)+1,N(K276))))</f>
        <v>0</v>
      </c>
    </row>
    <row r="278" customFormat="false" ht="15" hidden="false" customHeight="false" outlineLevel="0" collapsed="false">
      <c r="K278" s="24" t="n">
        <f aca="false">IF(Search!$B$3="",0,IF($A278="",N(K277),IF(ISNUMBER(SEARCH(Search!$B$3,$A278&amp;"")),N(K277)+1,N(K277))))</f>
        <v>0</v>
      </c>
    </row>
    <row r="279" customFormat="false" ht="15" hidden="false" customHeight="false" outlineLevel="0" collapsed="false">
      <c r="K279" s="24" t="n">
        <f aca="false">IF(Search!$B$3="",0,IF($A279="",N(K278),IF(ISNUMBER(SEARCH(Search!$B$3,$A279&amp;"")),N(K278)+1,N(K278))))</f>
        <v>0</v>
      </c>
    </row>
    <row r="280" customFormat="false" ht="15" hidden="false" customHeight="false" outlineLevel="0" collapsed="false">
      <c r="K280" s="24" t="n">
        <f aca="false">IF(Search!$B$3="",0,IF($A280="",N(K279),IF(ISNUMBER(SEARCH(Search!$B$3,$A280&amp;"")),N(K279)+1,N(K279))))</f>
        <v>0</v>
      </c>
    </row>
    <row r="281" customFormat="false" ht="15" hidden="false" customHeight="false" outlineLevel="0" collapsed="false">
      <c r="K281" s="24" t="n">
        <f aca="false">IF(Search!$B$3="",0,IF($A281="",N(K280),IF(ISNUMBER(SEARCH(Search!$B$3,$A281&amp;"")),N(K280)+1,N(K280))))</f>
        <v>0</v>
      </c>
    </row>
    <row r="282" customFormat="false" ht="15" hidden="false" customHeight="false" outlineLevel="0" collapsed="false">
      <c r="K282" s="24" t="n">
        <f aca="false">IF(Search!$B$3="",0,IF($A282="",N(K281),IF(ISNUMBER(SEARCH(Search!$B$3,$A282&amp;"")),N(K281)+1,N(K281))))</f>
        <v>0</v>
      </c>
    </row>
    <row r="283" customFormat="false" ht="15" hidden="false" customHeight="false" outlineLevel="0" collapsed="false">
      <c r="K283" s="24" t="n">
        <f aca="false">IF(Search!$B$3="",0,IF($A283="",N(K282),IF(ISNUMBER(SEARCH(Search!$B$3,$A283&amp;"")),N(K282)+1,N(K282))))</f>
        <v>0</v>
      </c>
    </row>
    <row r="284" customFormat="false" ht="15" hidden="false" customHeight="false" outlineLevel="0" collapsed="false">
      <c r="K284" s="24" t="n">
        <f aca="false">IF(Search!$B$3="",0,IF($A284="",N(K283),IF(ISNUMBER(SEARCH(Search!$B$3,$A284&amp;"")),N(K283)+1,N(K283))))</f>
        <v>0</v>
      </c>
    </row>
    <row r="285" customFormat="false" ht="15" hidden="false" customHeight="false" outlineLevel="0" collapsed="false">
      <c r="K285" s="24" t="n">
        <f aca="false">IF(Search!$B$3="",0,IF($A285="",N(K284),IF(ISNUMBER(SEARCH(Search!$B$3,$A285&amp;"")),N(K284)+1,N(K284))))</f>
        <v>0</v>
      </c>
    </row>
    <row r="286" customFormat="false" ht="15" hidden="false" customHeight="false" outlineLevel="0" collapsed="false">
      <c r="K286" s="24" t="n">
        <f aca="false">IF(Search!$B$3="",0,IF($A286="",N(K285),IF(ISNUMBER(SEARCH(Search!$B$3,$A286&amp;"")),N(K285)+1,N(K285))))</f>
        <v>0</v>
      </c>
    </row>
    <row r="287" customFormat="false" ht="15" hidden="false" customHeight="false" outlineLevel="0" collapsed="false">
      <c r="K287" s="24" t="n">
        <f aca="false">IF(Search!$B$3="",0,IF($A287="",N(K286),IF(ISNUMBER(SEARCH(Search!$B$3,$A287&amp;"")),N(K286)+1,N(K286))))</f>
        <v>0</v>
      </c>
    </row>
    <row r="288" customFormat="false" ht="15" hidden="false" customHeight="false" outlineLevel="0" collapsed="false">
      <c r="K288" s="24" t="n">
        <f aca="false">IF(Search!$B$3="",0,IF($A288="",N(K287),IF(ISNUMBER(SEARCH(Search!$B$3,$A288&amp;"")),N(K287)+1,N(K287))))</f>
        <v>0</v>
      </c>
    </row>
    <row r="289" customFormat="false" ht="15" hidden="false" customHeight="false" outlineLevel="0" collapsed="false">
      <c r="K289" s="24" t="n">
        <f aca="false">IF(Search!$B$3="",0,IF($A289="",N(K288),IF(ISNUMBER(SEARCH(Search!$B$3,$A289&amp;"")),N(K288)+1,N(K288))))</f>
        <v>0</v>
      </c>
    </row>
    <row r="290" customFormat="false" ht="15" hidden="false" customHeight="false" outlineLevel="0" collapsed="false">
      <c r="K290" s="24" t="n">
        <f aca="false">IF(Search!$B$3="",0,IF($A290="",N(K289),IF(ISNUMBER(SEARCH(Search!$B$3,$A290&amp;"")),N(K289)+1,N(K289))))</f>
        <v>0</v>
      </c>
    </row>
    <row r="291" customFormat="false" ht="15" hidden="false" customHeight="false" outlineLevel="0" collapsed="false">
      <c r="K291" s="24" t="n">
        <f aca="false">IF(Search!$B$3="",0,IF($A291="",N(K290),IF(ISNUMBER(SEARCH(Search!$B$3,$A291&amp;"")),N(K290)+1,N(K290))))</f>
        <v>0</v>
      </c>
    </row>
    <row r="292" customFormat="false" ht="15" hidden="false" customHeight="false" outlineLevel="0" collapsed="false">
      <c r="K292" s="24" t="n">
        <f aca="false">IF(Search!$B$3="",0,IF($A292="",N(K291),IF(ISNUMBER(SEARCH(Search!$B$3,$A292&amp;"")),N(K291)+1,N(K291))))</f>
        <v>0</v>
      </c>
    </row>
    <row r="293" customFormat="false" ht="15" hidden="false" customHeight="false" outlineLevel="0" collapsed="false">
      <c r="K293" s="24" t="n">
        <f aca="false">IF(Search!$B$3="",0,IF($A293="",N(K292),IF(ISNUMBER(SEARCH(Search!$B$3,$A293&amp;"")),N(K292)+1,N(K292))))</f>
        <v>0</v>
      </c>
    </row>
    <row r="294" customFormat="false" ht="15" hidden="false" customHeight="false" outlineLevel="0" collapsed="false">
      <c r="K294" s="24" t="n">
        <f aca="false">IF(Search!$B$3="",0,IF($A294="",N(K293),IF(ISNUMBER(SEARCH(Search!$B$3,$A294&amp;"")),N(K293)+1,N(K293))))</f>
        <v>0</v>
      </c>
    </row>
    <row r="295" customFormat="false" ht="15" hidden="false" customHeight="false" outlineLevel="0" collapsed="false">
      <c r="K295" s="24" t="n">
        <f aca="false">IF(Search!$B$3="",0,IF($A295="",N(K294),IF(ISNUMBER(SEARCH(Search!$B$3,$A295&amp;"")),N(K294)+1,N(K294))))</f>
        <v>0</v>
      </c>
    </row>
    <row r="296" customFormat="false" ht="15" hidden="false" customHeight="false" outlineLevel="0" collapsed="false">
      <c r="K296" s="24" t="n">
        <f aca="false">IF(Search!$B$3="",0,IF($A296="",N(K295),IF(ISNUMBER(SEARCH(Search!$B$3,$A296&amp;"")),N(K295)+1,N(K295))))</f>
        <v>0</v>
      </c>
    </row>
    <row r="297" customFormat="false" ht="15" hidden="false" customHeight="false" outlineLevel="0" collapsed="false">
      <c r="K297" s="24" t="n">
        <f aca="false">IF(Search!$B$3="",0,IF($A297="",N(K296),IF(ISNUMBER(SEARCH(Search!$B$3,$A297&amp;"")),N(K296)+1,N(K296))))</f>
        <v>0</v>
      </c>
    </row>
    <row r="298" customFormat="false" ht="15" hidden="false" customHeight="false" outlineLevel="0" collapsed="false">
      <c r="K298" s="24" t="n">
        <f aca="false">IF(Search!$B$3="",0,IF($A298="",N(K297),IF(ISNUMBER(SEARCH(Search!$B$3,$A298&amp;"")),N(K297)+1,N(K297))))</f>
        <v>0</v>
      </c>
    </row>
    <row r="299" customFormat="false" ht="15" hidden="false" customHeight="false" outlineLevel="0" collapsed="false">
      <c r="K299" s="24" t="n">
        <f aca="false">IF(Search!$B$3="",0,IF($A299="",N(K298),IF(ISNUMBER(SEARCH(Search!$B$3,$A299&amp;"")),N(K298)+1,N(K298))))</f>
        <v>0</v>
      </c>
    </row>
    <row r="300" customFormat="false" ht="15" hidden="false" customHeight="false" outlineLevel="0" collapsed="false">
      <c r="K300" s="24" t="n">
        <f aca="false">IF(Search!$B$3="",0,IF($A300="",N(K299),IF(ISNUMBER(SEARCH(Search!$B$3,$A300&amp;"")),N(K299)+1,N(K299))))</f>
        <v>0</v>
      </c>
    </row>
    <row r="301" customFormat="false" ht="15" hidden="false" customHeight="false" outlineLevel="0" collapsed="false">
      <c r="K301" s="24" t="n">
        <f aca="false">IF(Search!$B$3="",0,IF($A301="",N(K300),IF(ISNUMBER(SEARCH(Search!$B$3,$A301&amp;"")),N(K300)+1,N(K300))))</f>
        <v>0</v>
      </c>
    </row>
    <row r="302" customFormat="false" ht="15" hidden="false" customHeight="false" outlineLevel="0" collapsed="false">
      <c r="K302" s="24" t="n">
        <f aca="false">IF(Search!$B$3="",0,IF($A302="",N(K301),IF(ISNUMBER(SEARCH(Search!$B$3,$A302&amp;"")),N(K301)+1,N(K301))))</f>
        <v>0</v>
      </c>
    </row>
    <row r="303" customFormat="false" ht="15" hidden="false" customHeight="false" outlineLevel="0" collapsed="false">
      <c r="K303" s="24" t="n">
        <f aca="false">IF(Search!$B$3="",0,IF($A303="",N(K302),IF(ISNUMBER(SEARCH(Search!$B$3,$A303&amp;"")),N(K302)+1,N(K302))))</f>
        <v>0</v>
      </c>
    </row>
    <row r="304" customFormat="false" ht="15" hidden="false" customHeight="false" outlineLevel="0" collapsed="false">
      <c r="K304" s="24" t="n">
        <f aca="false">IF(Search!$B$3="",0,IF($A304="",N(K303),IF(ISNUMBER(SEARCH(Search!$B$3,$A304&amp;"")),N(K303)+1,N(K303))))</f>
        <v>0</v>
      </c>
    </row>
    <row r="305" customFormat="false" ht="15" hidden="false" customHeight="false" outlineLevel="0" collapsed="false">
      <c r="K305" s="24" t="n">
        <f aca="false">IF(Search!$B$3="",0,IF($A305="",N(K304),IF(ISNUMBER(SEARCH(Search!$B$3,$A305&amp;"")),N(K304)+1,N(K304))))</f>
        <v>0</v>
      </c>
    </row>
    <row r="306" customFormat="false" ht="15" hidden="false" customHeight="false" outlineLevel="0" collapsed="false">
      <c r="K306" s="24" t="n">
        <f aca="false">IF(Search!$B$3="",0,IF($A306="",N(K305),IF(ISNUMBER(SEARCH(Search!$B$3,$A306&amp;"")),N(K305)+1,N(K305))))</f>
        <v>0</v>
      </c>
    </row>
    <row r="307" customFormat="false" ht="15" hidden="false" customHeight="false" outlineLevel="0" collapsed="false">
      <c r="K307" s="24" t="n">
        <f aca="false">IF(Search!$B$3="",0,IF($A307="",N(K306),IF(ISNUMBER(SEARCH(Search!$B$3,$A307&amp;"")),N(K306)+1,N(K306))))</f>
        <v>0</v>
      </c>
    </row>
    <row r="308" customFormat="false" ht="15" hidden="false" customHeight="false" outlineLevel="0" collapsed="false">
      <c r="K308" s="24" t="n">
        <f aca="false">IF(Search!$B$3="",0,IF($A308="",N(K307),IF(ISNUMBER(SEARCH(Search!$B$3,$A308&amp;"")),N(K307)+1,N(K307))))</f>
        <v>0</v>
      </c>
    </row>
    <row r="309" customFormat="false" ht="15" hidden="false" customHeight="false" outlineLevel="0" collapsed="false">
      <c r="K309" s="24" t="n">
        <f aca="false">IF(Search!$B$3="",0,IF($A309="",N(K308),IF(ISNUMBER(SEARCH(Search!$B$3,$A309&amp;"")),N(K308)+1,N(K308))))</f>
        <v>0</v>
      </c>
    </row>
    <row r="310" customFormat="false" ht="15" hidden="false" customHeight="false" outlineLevel="0" collapsed="false">
      <c r="K310" s="24" t="n">
        <f aca="false">IF(Search!$B$3="",0,IF($A310="",N(K309),IF(ISNUMBER(SEARCH(Search!$B$3,$A310&amp;"")),N(K309)+1,N(K309))))</f>
        <v>0</v>
      </c>
    </row>
    <row r="311" customFormat="false" ht="15" hidden="false" customHeight="false" outlineLevel="0" collapsed="false">
      <c r="K311" s="24" t="n">
        <f aca="false">IF(Search!$B$3="",0,IF($A311="",N(K310),IF(ISNUMBER(SEARCH(Search!$B$3,$A311&amp;"")),N(K310)+1,N(K310))))</f>
        <v>0</v>
      </c>
    </row>
    <row r="312" customFormat="false" ht="15" hidden="false" customHeight="false" outlineLevel="0" collapsed="false">
      <c r="K312" s="24" t="n">
        <f aca="false">IF(Search!$B$3="",0,IF($A312="",N(K311),IF(ISNUMBER(SEARCH(Search!$B$3,$A312&amp;"")),N(K311)+1,N(K311))))</f>
        <v>0</v>
      </c>
    </row>
    <row r="313" customFormat="false" ht="15" hidden="false" customHeight="false" outlineLevel="0" collapsed="false">
      <c r="K313" s="24" t="n">
        <f aca="false">IF(Search!$B$3="",0,IF($A313="",N(K312),IF(ISNUMBER(SEARCH(Search!$B$3,$A313&amp;"")),N(K312)+1,N(K312))))</f>
        <v>0</v>
      </c>
    </row>
    <row r="314" customFormat="false" ht="15" hidden="false" customHeight="false" outlineLevel="0" collapsed="false">
      <c r="K314" s="24" t="n">
        <f aca="false">IF(Search!$B$3="",0,IF($A314="",N(K313),IF(ISNUMBER(SEARCH(Search!$B$3,$A314&amp;"")),N(K313)+1,N(K313))))</f>
        <v>0</v>
      </c>
    </row>
    <row r="315" customFormat="false" ht="15" hidden="false" customHeight="false" outlineLevel="0" collapsed="false">
      <c r="K315" s="24" t="n">
        <f aca="false">IF(Search!$B$3="",0,IF($A315="",N(K314),IF(ISNUMBER(SEARCH(Search!$B$3,$A315&amp;"")),N(K314)+1,N(K314))))</f>
        <v>0</v>
      </c>
    </row>
    <row r="316" customFormat="false" ht="15" hidden="false" customHeight="false" outlineLevel="0" collapsed="false">
      <c r="K316" s="24" t="n">
        <f aca="false">IF(Search!$B$3="",0,IF($A316="",N(K315),IF(ISNUMBER(SEARCH(Search!$B$3,$A316&amp;"")),N(K315)+1,N(K315))))</f>
        <v>0</v>
      </c>
    </row>
    <row r="317" customFormat="false" ht="15" hidden="false" customHeight="false" outlineLevel="0" collapsed="false">
      <c r="K317" s="24" t="n">
        <f aca="false">IF(Search!$B$3="",0,IF($A317="",N(K316),IF(ISNUMBER(SEARCH(Search!$B$3,$A317&amp;"")),N(K316)+1,N(K316))))</f>
        <v>0</v>
      </c>
    </row>
    <row r="318" customFormat="false" ht="15" hidden="false" customHeight="false" outlineLevel="0" collapsed="false">
      <c r="K318" s="24" t="n">
        <f aca="false">IF(Search!$B$3="",0,IF($A318="",N(K317),IF(ISNUMBER(SEARCH(Search!$B$3,$A318&amp;"")),N(K317)+1,N(K317))))</f>
        <v>0</v>
      </c>
    </row>
    <row r="319" customFormat="false" ht="15" hidden="false" customHeight="false" outlineLevel="0" collapsed="false">
      <c r="K319" s="24" t="n">
        <f aca="false">IF(Search!$B$3="",0,IF($A319="",N(K318),IF(ISNUMBER(SEARCH(Search!$B$3,$A319&amp;"")),N(K318)+1,N(K318))))</f>
        <v>0</v>
      </c>
    </row>
    <row r="320" customFormat="false" ht="15" hidden="false" customHeight="false" outlineLevel="0" collapsed="false">
      <c r="K320" s="24" t="n">
        <f aca="false">IF(Search!$B$3="",0,IF($A320="",N(K319),IF(ISNUMBER(SEARCH(Search!$B$3,$A320&amp;"")),N(K319)+1,N(K319))))</f>
        <v>0</v>
      </c>
    </row>
    <row r="321" customFormat="false" ht="15" hidden="false" customHeight="false" outlineLevel="0" collapsed="false">
      <c r="K321" s="24" t="n">
        <f aca="false">IF(Search!$B$3="",0,IF($A321="",N(K320),IF(ISNUMBER(SEARCH(Search!$B$3,$A321&amp;"")),N(K320)+1,N(K320))))</f>
        <v>0</v>
      </c>
    </row>
    <row r="322" customFormat="false" ht="15" hidden="false" customHeight="false" outlineLevel="0" collapsed="false">
      <c r="K322" s="24" t="n">
        <f aca="false">IF(Search!$B$3="",0,IF($A322="",N(K321),IF(ISNUMBER(SEARCH(Search!$B$3,$A322&amp;"")),N(K321)+1,N(K321))))</f>
        <v>0</v>
      </c>
    </row>
    <row r="323" customFormat="false" ht="15" hidden="false" customHeight="false" outlineLevel="0" collapsed="false">
      <c r="K323" s="24" t="n">
        <f aca="false">IF(Search!$B$3="",0,IF($A323="",N(K322),IF(ISNUMBER(SEARCH(Search!$B$3,$A323&amp;"")),N(K322)+1,N(K322))))</f>
        <v>0</v>
      </c>
    </row>
    <row r="324" customFormat="false" ht="15" hidden="false" customHeight="false" outlineLevel="0" collapsed="false">
      <c r="K324" s="24" t="n">
        <f aca="false">IF(Search!$B$3="",0,IF($A324="",N(K323),IF(ISNUMBER(SEARCH(Search!$B$3,$A324&amp;"")),N(K323)+1,N(K323))))</f>
        <v>0</v>
      </c>
    </row>
    <row r="325" customFormat="false" ht="15" hidden="false" customHeight="false" outlineLevel="0" collapsed="false">
      <c r="K325" s="24" t="n">
        <f aca="false">IF(Search!$B$3="",0,IF($A325="",N(K324),IF(ISNUMBER(SEARCH(Search!$B$3,$A325&amp;"")),N(K324)+1,N(K324))))</f>
        <v>0</v>
      </c>
    </row>
    <row r="326" customFormat="false" ht="15" hidden="false" customHeight="false" outlineLevel="0" collapsed="false">
      <c r="K326" s="24" t="n">
        <f aca="false">IF(Search!$B$3="",0,IF($A326="",N(K325),IF(ISNUMBER(SEARCH(Search!$B$3,$A326&amp;"")),N(K325)+1,N(K325))))</f>
        <v>0</v>
      </c>
    </row>
    <row r="327" customFormat="false" ht="15" hidden="false" customHeight="false" outlineLevel="0" collapsed="false">
      <c r="K327" s="24" t="n">
        <f aca="false">IF(Search!$B$3="",0,IF($A327="",N(K326),IF(ISNUMBER(SEARCH(Search!$B$3,$A327&amp;"")),N(K326)+1,N(K326))))</f>
        <v>0</v>
      </c>
    </row>
    <row r="328" customFormat="false" ht="15" hidden="false" customHeight="false" outlineLevel="0" collapsed="false">
      <c r="K328" s="24" t="n">
        <f aca="false">IF(Search!$B$3="",0,IF($A328="",N(K327),IF(ISNUMBER(SEARCH(Search!$B$3,$A328&amp;"")),N(K327)+1,N(K327))))</f>
        <v>0</v>
      </c>
    </row>
    <row r="329" customFormat="false" ht="15" hidden="false" customHeight="false" outlineLevel="0" collapsed="false">
      <c r="K329" s="24" t="n">
        <f aca="false">IF(Search!$B$3="",0,IF($A329="",N(K328),IF(ISNUMBER(SEARCH(Search!$B$3,$A329&amp;"")),N(K328)+1,N(K328))))</f>
        <v>0</v>
      </c>
    </row>
    <row r="330" customFormat="false" ht="15" hidden="false" customHeight="false" outlineLevel="0" collapsed="false">
      <c r="K330" s="24" t="n">
        <f aca="false">IF(Search!$B$3="",0,IF($A330="",N(K329),IF(ISNUMBER(SEARCH(Search!$B$3,$A330&amp;"")),N(K329)+1,N(K329))))</f>
        <v>0</v>
      </c>
    </row>
    <row r="331" customFormat="false" ht="15" hidden="false" customHeight="false" outlineLevel="0" collapsed="false">
      <c r="K331" s="24" t="n">
        <f aca="false">IF(Search!$B$3="",0,IF($A331="",N(K330),IF(ISNUMBER(SEARCH(Search!$B$3,$A331&amp;"")),N(K330)+1,N(K330))))</f>
        <v>0</v>
      </c>
    </row>
    <row r="332" customFormat="false" ht="15" hidden="false" customHeight="false" outlineLevel="0" collapsed="false">
      <c r="K332" s="24" t="n">
        <f aca="false">IF(Search!$B$3="",0,IF($A332="",N(K331),IF(ISNUMBER(SEARCH(Search!$B$3,$A332&amp;"")),N(K331)+1,N(K331))))</f>
        <v>0</v>
      </c>
    </row>
    <row r="333" customFormat="false" ht="15" hidden="false" customHeight="false" outlineLevel="0" collapsed="false">
      <c r="K333" s="24" t="n">
        <f aca="false">IF(Search!$B$3="",0,IF($A333="",N(K332),IF(ISNUMBER(SEARCH(Search!$B$3,$A333&amp;"")),N(K332)+1,N(K332))))</f>
        <v>0</v>
      </c>
    </row>
    <row r="334" customFormat="false" ht="15" hidden="false" customHeight="false" outlineLevel="0" collapsed="false">
      <c r="K334" s="24" t="n">
        <f aca="false">IF(Search!$B$3="",0,IF($A334="",N(K333),IF(ISNUMBER(SEARCH(Search!$B$3,$A334&amp;"")),N(K333)+1,N(K333))))</f>
        <v>0</v>
      </c>
    </row>
    <row r="335" customFormat="false" ht="15" hidden="false" customHeight="false" outlineLevel="0" collapsed="false">
      <c r="K335" s="24" t="n">
        <f aca="false">IF(Search!$B$3="",0,IF($A335="",N(K334),IF(ISNUMBER(SEARCH(Search!$B$3,$A335&amp;"")),N(K334)+1,N(K334))))</f>
        <v>0</v>
      </c>
    </row>
    <row r="336" customFormat="false" ht="15" hidden="false" customHeight="false" outlineLevel="0" collapsed="false">
      <c r="K336" s="24" t="n">
        <f aca="false">IF(Search!$B$3="",0,IF($A336="",N(K335),IF(ISNUMBER(SEARCH(Search!$B$3,$A336&amp;"")),N(K335)+1,N(K335))))</f>
        <v>0</v>
      </c>
    </row>
    <row r="337" customFormat="false" ht="15" hidden="false" customHeight="false" outlineLevel="0" collapsed="false">
      <c r="K337" s="24" t="n">
        <f aca="false">IF(Search!$B$3="",0,IF($A337="",N(K336),IF(ISNUMBER(SEARCH(Search!$B$3,$A337&amp;"")),N(K336)+1,N(K336))))</f>
        <v>0</v>
      </c>
    </row>
    <row r="338" customFormat="false" ht="15" hidden="false" customHeight="false" outlineLevel="0" collapsed="false">
      <c r="K338" s="24" t="n">
        <f aca="false">IF(Search!$B$3="",0,IF($A338="",N(K337),IF(ISNUMBER(SEARCH(Search!$B$3,$A338&amp;"")),N(K337)+1,N(K337))))</f>
        <v>0</v>
      </c>
    </row>
    <row r="339" customFormat="false" ht="15" hidden="false" customHeight="false" outlineLevel="0" collapsed="false">
      <c r="K339" s="24" t="n">
        <f aca="false">IF(Search!$B$3="",0,IF($A339="",N(K338),IF(ISNUMBER(SEARCH(Search!$B$3,$A339&amp;"")),N(K338)+1,N(K338))))</f>
        <v>0</v>
      </c>
    </row>
    <row r="340" customFormat="false" ht="15" hidden="false" customHeight="false" outlineLevel="0" collapsed="false">
      <c r="K340" s="24" t="n">
        <f aca="false">IF(Search!$B$3="",0,IF($A340="",N(K339),IF(ISNUMBER(SEARCH(Search!$B$3,$A340&amp;"")),N(K339)+1,N(K339))))</f>
        <v>0</v>
      </c>
    </row>
    <row r="341" customFormat="false" ht="15" hidden="false" customHeight="false" outlineLevel="0" collapsed="false">
      <c r="K341" s="24" t="n">
        <f aca="false">IF(Search!$B$3="",0,IF($A341="",N(K340),IF(ISNUMBER(SEARCH(Search!$B$3,$A341&amp;"")),N(K340)+1,N(K340))))</f>
        <v>0</v>
      </c>
    </row>
    <row r="342" customFormat="false" ht="15" hidden="false" customHeight="false" outlineLevel="0" collapsed="false">
      <c r="K342" s="24" t="n">
        <f aca="false">IF(Search!$B$3="",0,IF($A342="",N(K341),IF(ISNUMBER(SEARCH(Search!$B$3,$A342&amp;"")),N(K341)+1,N(K341))))</f>
        <v>0</v>
      </c>
    </row>
    <row r="343" customFormat="false" ht="15" hidden="false" customHeight="false" outlineLevel="0" collapsed="false">
      <c r="K343" s="24" t="n">
        <f aca="false">IF(Search!$B$3="",0,IF($A343="",N(K342),IF(ISNUMBER(SEARCH(Search!$B$3,$A343&amp;"")),N(K342)+1,N(K342))))</f>
        <v>0</v>
      </c>
    </row>
    <row r="344" customFormat="false" ht="15" hidden="false" customHeight="false" outlineLevel="0" collapsed="false">
      <c r="K344" s="24" t="n">
        <f aca="false">IF(Search!$B$3="",0,IF($A344="",N(K343),IF(ISNUMBER(SEARCH(Search!$B$3,$A344&amp;"")),N(K343)+1,N(K343))))</f>
        <v>0</v>
      </c>
    </row>
    <row r="345" customFormat="false" ht="15" hidden="false" customHeight="false" outlineLevel="0" collapsed="false">
      <c r="K345" s="24" t="n">
        <f aca="false">IF(Search!$B$3="",0,IF($A345="",N(K344),IF(ISNUMBER(SEARCH(Search!$B$3,$A345&amp;"")),N(K344)+1,N(K344))))</f>
        <v>0</v>
      </c>
    </row>
    <row r="346" customFormat="false" ht="15" hidden="false" customHeight="false" outlineLevel="0" collapsed="false">
      <c r="K346" s="24" t="n">
        <f aca="false">IF(Search!$B$3="",0,IF($A346="",N(K345),IF(ISNUMBER(SEARCH(Search!$B$3,$A346&amp;"")),N(K345)+1,N(K345))))</f>
        <v>0</v>
      </c>
    </row>
    <row r="347" customFormat="false" ht="15" hidden="false" customHeight="false" outlineLevel="0" collapsed="false">
      <c r="K347" s="24" t="n">
        <f aca="false">IF(Search!$B$3="",0,IF($A347="",N(K346),IF(ISNUMBER(SEARCH(Search!$B$3,$A347&amp;"")),N(K346)+1,N(K346))))</f>
        <v>0</v>
      </c>
    </row>
    <row r="348" customFormat="false" ht="15" hidden="false" customHeight="false" outlineLevel="0" collapsed="false">
      <c r="K348" s="24" t="n">
        <f aca="false">IF(Search!$B$3="",0,IF($A348="",N(K347),IF(ISNUMBER(SEARCH(Search!$B$3,$A348&amp;"")),N(K347)+1,N(K347))))</f>
        <v>0</v>
      </c>
    </row>
    <row r="349" customFormat="false" ht="15" hidden="false" customHeight="false" outlineLevel="0" collapsed="false">
      <c r="K349" s="24" t="n">
        <f aca="false">IF(Search!$B$3="",0,IF($A349="",N(K348),IF(ISNUMBER(SEARCH(Search!$B$3,$A349&amp;"")),N(K348)+1,N(K348))))</f>
        <v>0</v>
      </c>
    </row>
    <row r="350" customFormat="false" ht="15" hidden="false" customHeight="false" outlineLevel="0" collapsed="false">
      <c r="K350" s="24" t="n">
        <f aca="false">IF(Search!$B$3="",0,IF($A350="",N(K349),IF(ISNUMBER(SEARCH(Search!$B$3,$A350&amp;"")),N(K349)+1,N(K349))))</f>
        <v>0</v>
      </c>
    </row>
    <row r="351" customFormat="false" ht="15" hidden="false" customHeight="false" outlineLevel="0" collapsed="false">
      <c r="K351" s="24" t="n">
        <f aca="false">IF(Search!$B$3="",0,IF($A351="",N(K350),IF(ISNUMBER(SEARCH(Search!$B$3,$A351&amp;"")),N(K350)+1,N(K350))))</f>
        <v>0</v>
      </c>
    </row>
    <row r="352" customFormat="false" ht="15" hidden="false" customHeight="false" outlineLevel="0" collapsed="false">
      <c r="K352" s="24" t="n">
        <f aca="false">IF(Search!$B$3="",0,IF($A352="",N(K351),IF(ISNUMBER(SEARCH(Search!$B$3,$A352&amp;"")),N(K351)+1,N(K351))))</f>
        <v>0</v>
      </c>
    </row>
    <row r="353" customFormat="false" ht="15" hidden="false" customHeight="false" outlineLevel="0" collapsed="false">
      <c r="K353" s="24" t="n">
        <f aca="false">IF(Search!$B$3="",0,IF($A353="",N(K352),IF(ISNUMBER(SEARCH(Search!$B$3,$A353&amp;"")),N(K352)+1,N(K352))))</f>
        <v>0</v>
      </c>
    </row>
    <row r="354" customFormat="false" ht="15" hidden="false" customHeight="false" outlineLevel="0" collapsed="false">
      <c r="K354" s="24" t="n">
        <f aca="false">IF(Search!$B$3="",0,IF($A354="",N(K353),IF(ISNUMBER(SEARCH(Search!$B$3,$A354&amp;"")),N(K353)+1,N(K353))))</f>
        <v>0</v>
      </c>
    </row>
    <row r="355" customFormat="false" ht="15" hidden="false" customHeight="false" outlineLevel="0" collapsed="false">
      <c r="K355" s="24" t="n">
        <f aca="false">IF(Search!$B$3="",0,IF($A355="",N(K354),IF(ISNUMBER(SEARCH(Search!$B$3,$A355&amp;"")),N(K354)+1,N(K354))))</f>
        <v>0</v>
      </c>
    </row>
    <row r="356" customFormat="false" ht="15" hidden="false" customHeight="false" outlineLevel="0" collapsed="false">
      <c r="K356" s="24" t="n">
        <f aca="false">IF(Search!$B$3="",0,IF($A356="",N(K355),IF(ISNUMBER(SEARCH(Search!$B$3,$A356&amp;"")),N(K355)+1,N(K355))))</f>
        <v>0</v>
      </c>
    </row>
    <row r="357" customFormat="false" ht="15" hidden="false" customHeight="false" outlineLevel="0" collapsed="false">
      <c r="K357" s="24" t="n">
        <f aca="false">IF(Search!$B$3="",0,IF($A357="",N(K356),IF(ISNUMBER(SEARCH(Search!$B$3,$A357&amp;"")),N(K356)+1,N(K356))))</f>
        <v>0</v>
      </c>
    </row>
    <row r="358" customFormat="false" ht="15" hidden="false" customHeight="false" outlineLevel="0" collapsed="false">
      <c r="K358" s="24" t="n">
        <f aca="false">IF(Search!$B$3="",0,IF($A358="",N(K357),IF(ISNUMBER(SEARCH(Search!$B$3,$A358&amp;"")),N(K357)+1,N(K357))))</f>
        <v>0</v>
      </c>
    </row>
    <row r="359" customFormat="false" ht="15" hidden="false" customHeight="false" outlineLevel="0" collapsed="false">
      <c r="K359" s="24" t="n">
        <f aca="false">IF(Search!$B$3="",0,IF($A359="",N(K358),IF(ISNUMBER(SEARCH(Search!$B$3,$A359&amp;"")),N(K358)+1,N(K358))))</f>
        <v>0</v>
      </c>
    </row>
    <row r="360" customFormat="false" ht="15" hidden="false" customHeight="false" outlineLevel="0" collapsed="false">
      <c r="K360" s="24" t="n">
        <f aca="false">IF(Search!$B$3="",0,IF($A360="",N(K359),IF(ISNUMBER(SEARCH(Search!$B$3,$A360&amp;"")),N(K359)+1,N(K359))))</f>
        <v>0</v>
      </c>
    </row>
    <row r="361" customFormat="false" ht="15" hidden="false" customHeight="false" outlineLevel="0" collapsed="false">
      <c r="K361" s="24" t="n">
        <f aca="false">IF(Search!$B$3="",0,IF($A361="",N(K360),IF(ISNUMBER(SEARCH(Search!$B$3,$A361&amp;"")),N(K360)+1,N(K360))))</f>
        <v>0</v>
      </c>
    </row>
    <row r="362" customFormat="false" ht="15" hidden="false" customHeight="false" outlineLevel="0" collapsed="false">
      <c r="K362" s="24" t="n">
        <f aca="false">IF(Search!$B$3="",0,IF($A362="",N(K361),IF(ISNUMBER(SEARCH(Search!$B$3,$A362&amp;"")),N(K361)+1,N(K361))))</f>
        <v>0</v>
      </c>
    </row>
    <row r="363" customFormat="false" ht="15" hidden="false" customHeight="false" outlineLevel="0" collapsed="false">
      <c r="K363" s="24" t="n">
        <f aca="false">IF(Search!$B$3="",0,IF($A363="",N(K362),IF(ISNUMBER(SEARCH(Search!$B$3,$A363&amp;"")),N(K362)+1,N(K362))))</f>
        <v>0</v>
      </c>
    </row>
    <row r="364" customFormat="false" ht="15" hidden="false" customHeight="false" outlineLevel="0" collapsed="false">
      <c r="K364" s="24" t="n">
        <f aca="false">IF(Search!$B$3="",0,IF($A364="",N(K363),IF(ISNUMBER(SEARCH(Search!$B$3,$A364&amp;"")),N(K363)+1,N(K363))))</f>
        <v>0</v>
      </c>
    </row>
    <row r="365" customFormat="false" ht="15" hidden="false" customHeight="false" outlineLevel="0" collapsed="false">
      <c r="K365" s="24" t="n">
        <f aca="false">IF(Search!$B$3="",0,IF($A365="",N(K364),IF(ISNUMBER(SEARCH(Search!$B$3,$A365&amp;"")),N(K364)+1,N(K364))))</f>
        <v>0</v>
      </c>
    </row>
    <row r="366" customFormat="false" ht="15" hidden="false" customHeight="false" outlineLevel="0" collapsed="false">
      <c r="K366" s="24" t="n">
        <f aca="false">IF(Search!$B$3="",0,IF($A366="",N(K365),IF(ISNUMBER(SEARCH(Search!$B$3,$A366&amp;"")),N(K365)+1,N(K365))))</f>
        <v>0</v>
      </c>
    </row>
    <row r="367" customFormat="false" ht="15" hidden="false" customHeight="false" outlineLevel="0" collapsed="false">
      <c r="K367" s="24" t="n">
        <f aca="false">IF(Search!$B$3="",0,IF($A367="",N(K366),IF(ISNUMBER(SEARCH(Search!$B$3,$A367&amp;"")),N(K366)+1,N(K366))))</f>
        <v>0</v>
      </c>
    </row>
    <row r="368" customFormat="false" ht="15" hidden="false" customHeight="false" outlineLevel="0" collapsed="false">
      <c r="K368" s="24" t="n">
        <f aca="false">IF(Search!$B$3="",0,IF($A368="",N(K367),IF(ISNUMBER(SEARCH(Search!$B$3,$A368&amp;"")),N(K367)+1,N(K367))))</f>
        <v>0</v>
      </c>
    </row>
    <row r="369" customFormat="false" ht="15" hidden="false" customHeight="false" outlineLevel="0" collapsed="false">
      <c r="K369" s="24" t="n">
        <f aca="false">IF(Search!$B$3="",0,IF($A369="",N(K368),IF(ISNUMBER(SEARCH(Search!$B$3,$A369&amp;"")),N(K368)+1,N(K368))))</f>
        <v>0</v>
      </c>
    </row>
    <row r="370" customFormat="false" ht="15" hidden="false" customHeight="false" outlineLevel="0" collapsed="false">
      <c r="K370" s="24" t="n">
        <f aca="false">IF(Search!$B$3="",0,IF($A370="",N(K369),IF(ISNUMBER(SEARCH(Search!$B$3,$A370&amp;"")),N(K369)+1,N(K369))))</f>
        <v>0</v>
      </c>
    </row>
    <row r="371" customFormat="false" ht="15" hidden="false" customHeight="false" outlineLevel="0" collapsed="false">
      <c r="K371" s="24" t="n">
        <f aca="false">IF(Search!$B$3="",0,IF($A371="",N(K370),IF(ISNUMBER(SEARCH(Search!$B$3,$A371&amp;"")),N(K370)+1,N(K370))))</f>
        <v>0</v>
      </c>
    </row>
    <row r="372" customFormat="false" ht="15" hidden="false" customHeight="false" outlineLevel="0" collapsed="false">
      <c r="K372" s="24" t="n">
        <f aca="false">IF(Search!$B$3="",0,IF($A372="",N(K371),IF(ISNUMBER(SEARCH(Search!$B$3,$A372&amp;"")),N(K371)+1,N(K371))))</f>
        <v>0</v>
      </c>
    </row>
    <row r="373" customFormat="false" ht="15" hidden="false" customHeight="false" outlineLevel="0" collapsed="false">
      <c r="K373" s="24" t="n">
        <f aca="false">IF(Search!$B$3="",0,IF($A373="",N(K372),IF(ISNUMBER(SEARCH(Search!$B$3,$A373&amp;"")),N(K372)+1,N(K372))))</f>
        <v>0</v>
      </c>
    </row>
    <row r="374" customFormat="false" ht="15" hidden="false" customHeight="false" outlineLevel="0" collapsed="false">
      <c r="K374" s="24" t="n">
        <f aca="false">IF(Search!$B$3="",0,IF($A374="",N(K373),IF(ISNUMBER(SEARCH(Search!$B$3,$A374&amp;"")),N(K373)+1,N(K373))))</f>
        <v>0</v>
      </c>
    </row>
    <row r="375" customFormat="false" ht="15" hidden="false" customHeight="false" outlineLevel="0" collapsed="false">
      <c r="K375" s="24" t="n">
        <f aca="false">IF(Search!$B$3="",0,IF($A375="",N(K374),IF(ISNUMBER(SEARCH(Search!$B$3,$A375&amp;"")),N(K374)+1,N(K374))))</f>
        <v>0</v>
      </c>
    </row>
    <row r="376" customFormat="false" ht="15" hidden="false" customHeight="false" outlineLevel="0" collapsed="false">
      <c r="K376" s="24" t="n">
        <f aca="false">IF(Search!$B$3="",0,IF($A376="",N(K375),IF(ISNUMBER(SEARCH(Search!$B$3,$A376&amp;"")),N(K375)+1,N(K375))))</f>
        <v>0</v>
      </c>
    </row>
    <row r="377" customFormat="false" ht="15" hidden="false" customHeight="false" outlineLevel="0" collapsed="false">
      <c r="K377" s="24" t="n">
        <f aca="false">IF(Search!$B$3="",0,IF($A377="",N(K376),IF(ISNUMBER(SEARCH(Search!$B$3,$A377&amp;"")),N(K376)+1,N(K376))))</f>
        <v>0</v>
      </c>
    </row>
    <row r="378" customFormat="false" ht="15" hidden="false" customHeight="false" outlineLevel="0" collapsed="false">
      <c r="K378" s="24" t="n">
        <f aca="false">IF(Search!$B$3="",0,IF($A378="",N(K377),IF(ISNUMBER(SEARCH(Search!$B$3,$A378&amp;"")),N(K377)+1,N(K377))))</f>
        <v>0</v>
      </c>
    </row>
    <row r="379" customFormat="false" ht="15" hidden="false" customHeight="false" outlineLevel="0" collapsed="false">
      <c r="K379" s="24" t="n">
        <f aca="false">IF(Search!$B$3="",0,IF($A379="",N(K378),IF(ISNUMBER(SEARCH(Search!$B$3,$A379&amp;"")),N(K378)+1,N(K378))))</f>
        <v>0</v>
      </c>
    </row>
    <row r="380" customFormat="false" ht="15" hidden="false" customHeight="false" outlineLevel="0" collapsed="false">
      <c r="K380" s="24" t="n">
        <f aca="false">IF(Search!$B$3="",0,IF($A380="",N(K379),IF(ISNUMBER(SEARCH(Search!$B$3,$A380&amp;"")),N(K379)+1,N(K379))))</f>
        <v>0</v>
      </c>
    </row>
    <row r="381" customFormat="false" ht="15" hidden="false" customHeight="false" outlineLevel="0" collapsed="false">
      <c r="K381" s="24" t="n">
        <f aca="false">IF(Search!$B$3="",0,IF($A381="",N(K380),IF(ISNUMBER(SEARCH(Search!$B$3,$A381&amp;"")),N(K380)+1,N(K380))))</f>
        <v>0</v>
      </c>
    </row>
    <row r="382" customFormat="false" ht="15" hidden="false" customHeight="false" outlineLevel="0" collapsed="false">
      <c r="K382" s="24" t="n">
        <f aca="false">IF(Search!$B$3="",0,IF($A382="",N(K381),IF(ISNUMBER(SEARCH(Search!$B$3,$A382&amp;"")),N(K381)+1,N(K381))))</f>
        <v>0</v>
      </c>
    </row>
    <row r="383" customFormat="false" ht="15" hidden="false" customHeight="false" outlineLevel="0" collapsed="false">
      <c r="K383" s="24" t="n">
        <f aca="false">IF(Search!$B$3="",0,IF($A383="",N(K382),IF(ISNUMBER(SEARCH(Search!$B$3,$A383&amp;"")),N(K382)+1,N(K382))))</f>
        <v>0</v>
      </c>
    </row>
    <row r="384" customFormat="false" ht="15" hidden="false" customHeight="false" outlineLevel="0" collapsed="false">
      <c r="K384" s="24" t="n">
        <f aca="false">IF(Search!$B$3="",0,IF($A384="",N(K383),IF(ISNUMBER(SEARCH(Search!$B$3,$A384&amp;"")),N(K383)+1,N(K383))))</f>
        <v>0</v>
      </c>
    </row>
    <row r="385" customFormat="false" ht="15" hidden="false" customHeight="false" outlineLevel="0" collapsed="false">
      <c r="K385" s="24" t="n">
        <f aca="false">IF(Search!$B$3="",0,IF($A385="",N(K384),IF(ISNUMBER(SEARCH(Search!$B$3,$A385&amp;"")),N(K384)+1,N(K384))))</f>
        <v>0</v>
      </c>
    </row>
    <row r="386" customFormat="false" ht="15" hidden="false" customHeight="false" outlineLevel="0" collapsed="false">
      <c r="K386" s="24" t="n">
        <f aca="false">IF(Search!$B$3="",0,IF($A386="",N(K385),IF(ISNUMBER(SEARCH(Search!$B$3,$A386&amp;"")),N(K385)+1,N(K385))))</f>
        <v>0</v>
      </c>
    </row>
    <row r="387" customFormat="false" ht="15" hidden="false" customHeight="false" outlineLevel="0" collapsed="false">
      <c r="K387" s="24" t="n">
        <f aca="false">IF(Search!$B$3="",0,IF($A387="",N(K386),IF(ISNUMBER(SEARCH(Search!$B$3,$A387&amp;"")),N(K386)+1,N(K386))))</f>
        <v>0</v>
      </c>
    </row>
    <row r="388" customFormat="false" ht="15" hidden="false" customHeight="false" outlineLevel="0" collapsed="false">
      <c r="K388" s="24" t="n">
        <f aca="false">IF(Search!$B$3="",0,IF($A388="",N(K387),IF(ISNUMBER(SEARCH(Search!$B$3,$A388&amp;"")),N(K387)+1,N(K387))))</f>
        <v>0</v>
      </c>
    </row>
    <row r="389" customFormat="false" ht="15" hidden="false" customHeight="false" outlineLevel="0" collapsed="false">
      <c r="K389" s="24" t="n">
        <f aca="false">IF(Search!$B$3="",0,IF($A389="",N(K388),IF(ISNUMBER(SEARCH(Search!$B$3,$A389&amp;"")),N(K388)+1,N(K388))))</f>
        <v>0</v>
      </c>
    </row>
    <row r="390" customFormat="false" ht="15" hidden="false" customHeight="false" outlineLevel="0" collapsed="false">
      <c r="K390" s="24" t="n">
        <f aca="false">IF(Search!$B$3="",0,IF($A390="",N(K389),IF(ISNUMBER(SEARCH(Search!$B$3,$A390&amp;"")),N(K389)+1,N(K389))))</f>
        <v>0</v>
      </c>
    </row>
    <row r="391" customFormat="false" ht="15" hidden="false" customHeight="false" outlineLevel="0" collapsed="false">
      <c r="K391" s="24" t="n">
        <f aca="false">IF(Search!$B$3="",0,IF($A391="",N(K390),IF(ISNUMBER(SEARCH(Search!$B$3,$A391&amp;"")),N(K390)+1,N(K390))))</f>
        <v>0</v>
      </c>
    </row>
    <row r="392" customFormat="false" ht="15" hidden="false" customHeight="false" outlineLevel="0" collapsed="false">
      <c r="K392" s="24" t="n">
        <f aca="false">IF(Search!$B$3="",0,IF($A392="",N(K391),IF(ISNUMBER(SEARCH(Search!$B$3,$A392&amp;"")),N(K391)+1,N(K391))))</f>
        <v>0</v>
      </c>
    </row>
    <row r="393" customFormat="false" ht="15" hidden="false" customHeight="false" outlineLevel="0" collapsed="false">
      <c r="K393" s="24" t="n">
        <f aca="false">IF(Search!$B$3="",0,IF($A393="",N(K392),IF(ISNUMBER(SEARCH(Search!$B$3,$A393&amp;"")),N(K392)+1,N(K392))))</f>
        <v>0</v>
      </c>
    </row>
    <row r="394" customFormat="false" ht="15" hidden="false" customHeight="false" outlineLevel="0" collapsed="false">
      <c r="K394" s="24" t="n">
        <f aca="false">IF(Search!$B$3="",0,IF($A394="",N(K393),IF(ISNUMBER(SEARCH(Search!$B$3,$A394&amp;"")),N(K393)+1,N(K393))))</f>
        <v>0</v>
      </c>
    </row>
    <row r="395" customFormat="false" ht="15" hidden="false" customHeight="false" outlineLevel="0" collapsed="false">
      <c r="K395" s="24" t="n">
        <f aca="false">IF(Search!$B$3="",0,IF($A395="",N(K394),IF(ISNUMBER(SEARCH(Search!$B$3,$A395&amp;"")),N(K394)+1,N(K394))))</f>
        <v>0</v>
      </c>
    </row>
    <row r="396" customFormat="false" ht="15" hidden="false" customHeight="false" outlineLevel="0" collapsed="false">
      <c r="K396" s="24" t="n">
        <f aca="false">IF(Search!$B$3="",0,IF($A396="",N(K395),IF(ISNUMBER(SEARCH(Search!$B$3,$A396&amp;"")),N(K395)+1,N(K395))))</f>
        <v>0</v>
      </c>
    </row>
    <row r="397" customFormat="false" ht="15" hidden="false" customHeight="false" outlineLevel="0" collapsed="false">
      <c r="K397" s="24" t="n">
        <f aca="false">IF(Search!$B$3="",0,IF($A397="",N(K396),IF(ISNUMBER(SEARCH(Search!$B$3,$A397&amp;"")),N(K396)+1,N(K396))))</f>
        <v>0</v>
      </c>
    </row>
    <row r="398" customFormat="false" ht="15" hidden="false" customHeight="false" outlineLevel="0" collapsed="false">
      <c r="K398" s="24" t="n">
        <f aca="false">IF(Search!$B$3="",0,IF($A398="",N(K397),IF(ISNUMBER(SEARCH(Search!$B$3,$A398&amp;"")),N(K397)+1,N(K397))))</f>
        <v>0</v>
      </c>
    </row>
    <row r="399" customFormat="false" ht="15" hidden="false" customHeight="false" outlineLevel="0" collapsed="false">
      <c r="K399" s="24" t="n">
        <f aca="false">IF(Search!$B$3="",0,IF($A399="",N(K398),IF(ISNUMBER(SEARCH(Search!$B$3,$A399&amp;"")),N(K398)+1,N(K398))))</f>
        <v>0</v>
      </c>
    </row>
    <row r="400" customFormat="false" ht="15" hidden="false" customHeight="false" outlineLevel="0" collapsed="false">
      <c r="K400" s="24" t="n">
        <f aca="false">IF(Search!$B$3="",0,IF($A400="",N(K399),IF(ISNUMBER(SEARCH(Search!$B$3,$A400&amp;"")),N(K399)+1,N(K399))))</f>
        <v>0</v>
      </c>
    </row>
    <row r="401" customFormat="false" ht="15" hidden="false" customHeight="false" outlineLevel="0" collapsed="false">
      <c r="K401" s="24" t="n">
        <f aca="false">IF(Search!$B$3="",0,IF($A401="",N(K400),IF(ISNUMBER(SEARCH(Search!$B$3,$A401&amp;"")),N(K400)+1,N(K400))))</f>
        <v>0</v>
      </c>
    </row>
    <row r="402" customFormat="false" ht="15" hidden="false" customHeight="false" outlineLevel="0" collapsed="false">
      <c r="K402" s="24" t="n">
        <f aca="false">IF(Search!$B$3="",0,IF($A402="",N(K401),IF(ISNUMBER(SEARCH(Search!$B$3,$A402&amp;"")),N(K401)+1,N(K401))))</f>
        <v>0</v>
      </c>
    </row>
    <row r="403" customFormat="false" ht="15" hidden="false" customHeight="false" outlineLevel="0" collapsed="false">
      <c r="K403" s="24" t="n">
        <f aca="false">IF(Search!$B$3="",0,IF($A403="",N(K402),IF(ISNUMBER(SEARCH(Search!$B$3,$A403&amp;"")),N(K402)+1,N(K402))))</f>
        <v>0</v>
      </c>
    </row>
    <row r="404" customFormat="false" ht="15" hidden="false" customHeight="false" outlineLevel="0" collapsed="false">
      <c r="K404" s="24" t="n">
        <f aca="false">IF(Search!$B$3="",0,IF($A404="",N(K403),IF(ISNUMBER(SEARCH(Search!$B$3,$A404&amp;"")),N(K403)+1,N(K403))))</f>
        <v>0</v>
      </c>
    </row>
    <row r="405" customFormat="false" ht="15" hidden="false" customHeight="false" outlineLevel="0" collapsed="false">
      <c r="K405" s="24" t="n">
        <f aca="false">IF(Search!$B$3="",0,IF($A405="",N(K404),IF(ISNUMBER(SEARCH(Search!$B$3,$A405&amp;"")),N(K404)+1,N(K404))))</f>
        <v>0</v>
      </c>
    </row>
    <row r="406" customFormat="false" ht="15" hidden="false" customHeight="false" outlineLevel="0" collapsed="false">
      <c r="K406" s="24" t="n">
        <f aca="false">IF(Search!$B$3="",0,IF($A406="",N(K405),IF(ISNUMBER(SEARCH(Search!$B$3,$A406&amp;"")),N(K405)+1,N(K405))))</f>
        <v>0</v>
      </c>
    </row>
    <row r="407" customFormat="false" ht="15" hidden="false" customHeight="false" outlineLevel="0" collapsed="false">
      <c r="K407" s="24" t="n">
        <f aca="false">IF(Search!$B$3="",0,IF($A407="",N(K406),IF(ISNUMBER(SEARCH(Search!$B$3,$A407&amp;"")),N(K406)+1,N(K406))))</f>
        <v>0</v>
      </c>
    </row>
    <row r="408" customFormat="false" ht="15" hidden="false" customHeight="false" outlineLevel="0" collapsed="false">
      <c r="K408" s="24" t="n">
        <f aca="false">IF(Search!$B$3="",0,IF($A408="",N(K407),IF(ISNUMBER(SEARCH(Search!$B$3,$A408&amp;"")),N(K407)+1,N(K407))))</f>
        <v>0</v>
      </c>
    </row>
    <row r="409" customFormat="false" ht="15" hidden="false" customHeight="false" outlineLevel="0" collapsed="false">
      <c r="K409" s="24" t="n">
        <f aca="false">IF(Search!$B$3="",0,IF($A409="",N(K408),IF(ISNUMBER(SEARCH(Search!$B$3,$A409&amp;"")),N(K408)+1,N(K408))))</f>
        <v>0</v>
      </c>
    </row>
    <row r="410" customFormat="false" ht="15" hidden="false" customHeight="false" outlineLevel="0" collapsed="false">
      <c r="K410" s="24" t="n">
        <f aca="false">IF(Search!$B$3="",0,IF($A410="",N(K409),IF(ISNUMBER(SEARCH(Search!$B$3,$A410&amp;"")),N(K409)+1,N(K409))))</f>
        <v>0</v>
      </c>
    </row>
    <row r="411" customFormat="false" ht="15" hidden="false" customHeight="false" outlineLevel="0" collapsed="false">
      <c r="K411" s="24" t="n">
        <f aca="false">IF(Search!$B$3="",0,IF($A411="",N(K410),IF(ISNUMBER(SEARCH(Search!$B$3,$A411&amp;"")),N(K410)+1,N(K410))))</f>
        <v>0</v>
      </c>
    </row>
    <row r="412" customFormat="false" ht="15" hidden="false" customHeight="false" outlineLevel="0" collapsed="false">
      <c r="K412" s="24" t="n">
        <f aca="false">IF(Search!$B$3="",0,IF($A412="",N(K411),IF(ISNUMBER(SEARCH(Search!$B$3,$A412&amp;"")),N(K411)+1,N(K411))))</f>
        <v>0</v>
      </c>
    </row>
    <row r="413" customFormat="false" ht="15" hidden="false" customHeight="false" outlineLevel="0" collapsed="false">
      <c r="K413" s="24" t="n">
        <f aca="false">IF(Search!$B$3="",0,IF($A413="",N(K412),IF(ISNUMBER(SEARCH(Search!$B$3,$A413&amp;"")),N(K412)+1,N(K412))))</f>
        <v>0</v>
      </c>
    </row>
    <row r="414" customFormat="false" ht="15" hidden="false" customHeight="false" outlineLevel="0" collapsed="false">
      <c r="K414" s="24" t="n">
        <f aca="false">IF(Search!$B$3="",0,IF($A414="",N(K413),IF(ISNUMBER(SEARCH(Search!$B$3,$A414&amp;"")),N(K413)+1,N(K413))))</f>
        <v>0</v>
      </c>
    </row>
    <row r="415" customFormat="false" ht="15" hidden="false" customHeight="false" outlineLevel="0" collapsed="false">
      <c r="K415" s="24" t="n">
        <f aca="false">IF(Search!$B$3="",0,IF($A415="",N(K414),IF(ISNUMBER(SEARCH(Search!$B$3,$A415&amp;"")),N(K414)+1,N(K414))))</f>
        <v>0</v>
      </c>
    </row>
    <row r="416" customFormat="false" ht="15" hidden="false" customHeight="false" outlineLevel="0" collapsed="false">
      <c r="K416" s="24" t="n">
        <f aca="false">IF(Search!$B$3="",0,IF($A416="",N(K415),IF(ISNUMBER(SEARCH(Search!$B$3,$A416&amp;"")),N(K415)+1,N(K415))))</f>
        <v>0</v>
      </c>
    </row>
    <row r="417" customFormat="false" ht="15" hidden="false" customHeight="false" outlineLevel="0" collapsed="false">
      <c r="K417" s="24" t="n">
        <f aca="false">IF(Search!$B$3="",0,IF($A417="",N(K416),IF(ISNUMBER(SEARCH(Search!$B$3,$A417&amp;"")),N(K416)+1,N(K416))))</f>
        <v>0</v>
      </c>
    </row>
    <row r="418" customFormat="false" ht="15" hidden="false" customHeight="false" outlineLevel="0" collapsed="false">
      <c r="K418" s="24" t="n">
        <f aca="false">IF(Search!$B$3="",0,IF($A418="",N(K417),IF(ISNUMBER(SEARCH(Search!$B$3,$A418&amp;"")),N(K417)+1,N(K417))))</f>
        <v>0</v>
      </c>
    </row>
    <row r="419" customFormat="false" ht="15" hidden="false" customHeight="false" outlineLevel="0" collapsed="false">
      <c r="K419" s="24" t="n">
        <f aca="false">IF(Search!$B$3="",0,IF($A419="",N(K418),IF(ISNUMBER(SEARCH(Search!$B$3,$A419&amp;"")),N(K418)+1,N(K418))))</f>
        <v>0</v>
      </c>
    </row>
    <row r="420" customFormat="false" ht="15" hidden="false" customHeight="false" outlineLevel="0" collapsed="false">
      <c r="K420" s="24" t="n">
        <f aca="false">IF(Search!$B$3="",0,IF($A420="",N(K419),IF(ISNUMBER(SEARCH(Search!$B$3,$A420&amp;"")),N(K419)+1,N(K419))))</f>
        <v>0</v>
      </c>
    </row>
    <row r="421" customFormat="false" ht="15" hidden="false" customHeight="false" outlineLevel="0" collapsed="false">
      <c r="K421" s="24" t="n">
        <f aca="false">IF(Search!$B$3="",0,IF($A421="",N(K420),IF(ISNUMBER(SEARCH(Search!$B$3,$A421&amp;"")),N(K420)+1,N(K420))))</f>
        <v>0</v>
      </c>
    </row>
    <row r="422" customFormat="false" ht="15" hidden="false" customHeight="false" outlineLevel="0" collapsed="false">
      <c r="K422" s="24" t="n">
        <f aca="false">IF(Search!$B$3="",0,IF($A422="",N(K421),IF(ISNUMBER(SEARCH(Search!$B$3,$A422&amp;"")),N(K421)+1,N(K421))))</f>
        <v>0</v>
      </c>
    </row>
    <row r="423" customFormat="false" ht="15" hidden="false" customHeight="false" outlineLevel="0" collapsed="false">
      <c r="K423" s="24" t="n">
        <f aca="false">IF(Search!$B$3="",0,IF($A423="",N(K422),IF(ISNUMBER(SEARCH(Search!$B$3,$A423&amp;"")),N(K422)+1,N(K422))))</f>
        <v>0</v>
      </c>
    </row>
    <row r="424" customFormat="false" ht="15" hidden="false" customHeight="false" outlineLevel="0" collapsed="false">
      <c r="K424" s="24" t="n">
        <f aca="false">IF(Search!$B$3="",0,IF($A424="",N(K423),IF(ISNUMBER(SEARCH(Search!$B$3,$A424&amp;"")),N(K423)+1,N(K423))))</f>
        <v>0</v>
      </c>
    </row>
    <row r="425" customFormat="false" ht="15" hidden="false" customHeight="false" outlineLevel="0" collapsed="false">
      <c r="K425" s="24" t="n">
        <f aca="false">IF(Search!$B$3="",0,IF($A425="",N(K424),IF(ISNUMBER(SEARCH(Search!$B$3,$A425&amp;"")),N(K424)+1,N(K424))))</f>
        <v>0</v>
      </c>
    </row>
    <row r="426" customFormat="false" ht="15" hidden="false" customHeight="false" outlineLevel="0" collapsed="false">
      <c r="K426" s="24" t="n">
        <f aca="false">IF(Search!$B$3="",0,IF($A426="",N(K425),IF(ISNUMBER(SEARCH(Search!$B$3,$A426&amp;"")),N(K425)+1,N(K425))))</f>
        <v>0</v>
      </c>
    </row>
    <row r="427" customFormat="false" ht="15" hidden="false" customHeight="false" outlineLevel="0" collapsed="false">
      <c r="K427" s="24" t="n">
        <f aca="false">IF(Search!$B$3="",0,IF($A427="",N(K426),IF(ISNUMBER(SEARCH(Search!$B$3,$A427&amp;"")),N(K426)+1,N(K426))))</f>
        <v>0</v>
      </c>
    </row>
    <row r="428" customFormat="false" ht="15" hidden="false" customHeight="false" outlineLevel="0" collapsed="false">
      <c r="K428" s="24" t="n">
        <f aca="false">IF(Search!$B$3="",0,IF($A428="",N(K427),IF(ISNUMBER(SEARCH(Search!$B$3,$A428&amp;"")),N(K427)+1,N(K427))))</f>
        <v>0</v>
      </c>
    </row>
    <row r="429" customFormat="false" ht="15" hidden="false" customHeight="false" outlineLevel="0" collapsed="false">
      <c r="K429" s="24" t="n">
        <f aca="false">IF(Search!$B$3="",0,IF($A429="",N(K428),IF(ISNUMBER(SEARCH(Search!$B$3,$A429&amp;"")),N(K428)+1,N(K428))))</f>
        <v>0</v>
      </c>
    </row>
    <row r="430" customFormat="false" ht="15" hidden="false" customHeight="false" outlineLevel="0" collapsed="false">
      <c r="K430" s="24" t="n">
        <f aca="false">IF(Search!$B$3="",0,IF($A430="",N(K429),IF(ISNUMBER(SEARCH(Search!$B$3,$A430&amp;"")),N(K429)+1,N(K429))))</f>
        <v>0</v>
      </c>
    </row>
    <row r="431" customFormat="false" ht="15" hidden="false" customHeight="false" outlineLevel="0" collapsed="false">
      <c r="K431" s="24" t="n">
        <f aca="false">IF(Search!$B$3="",0,IF($A431="",N(K430),IF(ISNUMBER(SEARCH(Search!$B$3,$A431&amp;"")),N(K430)+1,N(K430))))</f>
        <v>0</v>
      </c>
    </row>
    <row r="432" customFormat="false" ht="15" hidden="false" customHeight="false" outlineLevel="0" collapsed="false">
      <c r="K432" s="24" t="n">
        <f aca="false">IF(Search!$B$3="",0,IF($A432="",N(K431),IF(ISNUMBER(SEARCH(Search!$B$3,$A432&amp;"")),N(K431)+1,N(K431))))</f>
        <v>0</v>
      </c>
    </row>
    <row r="433" customFormat="false" ht="15" hidden="false" customHeight="false" outlineLevel="0" collapsed="false">
      <c r="K433" s="24" t="n">
        <f aca="false">IF(Search!$B$3="",0,IF($A433="",N(K432),IF(ISNUMBER(SEARCH(Search!$B$3,$A433&amp;"")),N(K432)+1,N(K432))))</f>
        <v>0</v>
      </c>
    </row>
    <row r="434" customFormat="false" ht="15" hidden="false" customHeight="false" outlineLevel="0" collapsed="false">
      <c r="K434" s="24" t="n">
        <f aca="false">IF(Search!$B$3="",0,IF($A434="",N(K433),IF(ISNUMBER(SEARCH(Search!$B$3,$A434&amp;"")),N(K433)+1,N(K433))))</f>
        <v>0</v>
      </c>
    </row>
    <row r="435" customFormat="false" ht="15" hidden="false" customHeight="false" outlineLevel="0" collapsed="false">
      <c r="K435" s="24" t="n">
        <f aca="false">IF(Search!$B$3="",0,IF($A435="",N(K434),IF(ISNUMBER(SEARCH(Search!$B$3,$A435&amp;"")),N(K434)+1,N(K434))))</f>
        <v>0</v>
      </c>
    </row>
    <row r="436" customFormat="false" ht="15" hidden="false" customHeight="false" outlineLevel="0" collapsed="false">
      <c r="K436" s="24" t="n">
        <f aca="false">IF(Search!$B$3="",0,IF($A436="",N(K435),IF(ISNUMBER(SEARCH(Search!$B$3,$A436&amp;"")),N(K435)+1,N(K435))))</f>
        <v>0</v>
      </c>
    </row>
    <row r="437" customFormat="false" ht="15" hidden="false" customHeight="false" outlineLevel="0" collapsed="false">
      <c r="K437" s="24" t="n">
        <f aca="false">IF(Search!$B$3="",0,IF($A437="",N(K436),IF(ISNUMBER(SEARCH(Search!$B$3,$A437&amp;"")),N(K436)+1,N(K436))))</f>
        <v>0</v>
      </c>
    </row>
    <row r="438" customFormat="false" ht="15" hidden="false" customHeight="false" outlineLevel="0" collapsed="false">
      <c r="K438" s="24" t="n">
        <f aca="false">IF(Search!$B$3="",0,IF($A438="",N(K437),IF(ISNUMBER(SEARCH(Search!$B$3,$A438&amp;"")),N(K437)+1,N(K437))))</f>
        <v>0</v>
      </c>
    </row>
    <row r="439" customFormat="false" ht="15" hidden="false" customHeight="false" outlineLevel="0" collapsed="false">
      <c r="K439" s="24" t="n">
        <f aca="false">IF(Search!$B$3="",0,IF($A439="",N(K438),IF(ISNUMBER(SEARCH(Search!$B$3,$A439&amp;"")),N(K438)+1,N(K438))))</f>
        <v>0</v>
      </c>
    </row>
    <row r="440" customFormat="false" ht="15" hidden="false" customHeight="false" outlineLevel="0" collapsed="false">
      <c r="K440" s="24" t="n">
        <f aca="false">IF(Search!$B$3="",0,IF($A440="",N(K439),IF(ISNUMBER(SEARCH(Search!$B$3,$A440&amp;"")),N(K439)+1,N(K439))))</f>
        <v>0</v>
      </c>
    </row>
    <row r="441" customFormat="false" ht="15" hidden="false" customHeight="false" outlineLevel="0" collapsed="false">
      <c r="K441" s="24" t="n">
        <f aca="false">IF(Search!$B$3="",0,IF($A441="",N(K440),IF(ISNUMBER(SEARCH(Search!$B$3,$A441&amp;"")),N(K440)+1,N(K440))))</f>
        <v>0</v>
      </c>
    </row>
    <row r="442" customFormat="false" ht="15" hidden="false" customHeight="false" outlineLevel="0" collapsed="false">
      <c r="K442" s="24" t="n">
        <f aca="false">IF(Search!$B$3="",0,IF($A442="",N(K441),IF(ISNUMBER(SEARCH(Search!$B$3,$A442&amp;"")),N(K441)+1,N(K441))))</f>
        <v>0</v>
      </c>
    </row>
    <row r="443" customFormat="false" ht="15" hidden="false" customHeight="false" outlineLevel="0" collapsed="false">
      <c r="K443" s="24" t="n">
        <f aca="false">IF(Search!$B$3="",0,IF($A443="",N(K442),IF(ISNUMBER(SEARCH(Search!$B$3,$A443&amp;"")),N(K442)+1,N(K442))))</f>
        <v>0</v>
      </c>
    </row>
    <row r="444" customFormat="false" ht="15" hidden="false" customHeight="false" outlineLevel="0" collapsed="false">
      <c r="K444" s="24" t="n">
        <f aca="false">IF(Search!$B$3="",0,IF($A444="",N(K443),IF(ISNUMBER(SEARCH(Search!$B$3,$A444&amp;"")),N(K443)+1,N(K443))))</f>
        <v>0</v>
      </c>
    </row>
    <row r="445" customFormat="false" ht="15" hidden="false" customHeight="false" outlineLevel="0" collapsed="false">
      <c r="K445" s="24" t="n">
        <f aca="false">IF(Search!$B$3="",0,IF($A445="",N(K444),IF(ISNUMBER(SEARCH(Search!$B$3,$A445&amp;"")),N(K444)+1,N(K444))))</f>
        <v>0</v>
      </c>
    </row>
    <row r="446" customFormat="false" ht="15" hidden="false" customHeight="false" outlineLevel="0" collapsed="false">
      <c r="K446" s="24" t="n">
        <f aca="false">IF(Search!$B$3="",0,IF($A446="",N(K445),IF(ISNUMBER(SEARCH(Search!$B$3,$A446&amp;"")),N(K445)+1,N(K445))))</f>
        <v>0</v>
      </c>
    </row>
    <row r="447" customFormat="false" ht="15" hidden="false" customHeight="false" outlineLevel="0" collapsed="false">
      <c r="K447" s="24" t="n">
        <f aca="false">IF(Search!$B$3="",0,IF($A447="",N(K446),IF(ISNUMBER(SEARCH(Search!$B$3,$A447&amp;"")),N(K446)+1,N(K446))))</f>
        <v>0</v>
      </c>
    </row>
    <row r="448" customFormat="false" ht="15" hidden="false" customHeight="false" outlineLevel="0" collapsed="false">
      <c r="K448" s="24" t="n">
        <f aca="false">IF(Search!$B$3="",0,IF($A448="",N(K447),IF(ISNUMBER(SEARCH(Search!$B$3,$A448&amp;"")),N(K447)+1,N(K447))))</f>
        <v>0</v>
      </c>
    </row>
    <row r="449" customFormat="false" ht="15" hidden="false" customHeight="false" outlineLevel="0" collapsed="false">
      <c r="K449" s="24" t="n">
        <f aca="false">IF(Search!$B$3="",0,IF($A449="",N(K448),IF(ISNUMBER(SEARCH(Search!$B$3,$A449&amp;"")),N(K448)+1,N(K448))))</f>
        <v>0</v>
      </c>
    </row>
    <row r="450" customFormat="false" ht="15" hidden="false" customHeight="false" outlineLevel="0" collapsed="false">
      <c r="K450" s="24" t="n">
        <f aca="false">IF(Search!$B$3="",0,IF($A450="",N(K449),IF(ISNUMBER(SEARCH(Search!$B$3,$A450&amp;"")),N(K449)+1,N(K449))))</f>
        <v>0</v>
      </c>
    </row>
    <row r="451" customFormat="false" ht="15" hidden="false" customHeight="false" outlineLevel="0" collapsed="false">
      <c r="K451" s="24" t="n">
        <f aca="false">IF(Search!$B$3="",0,IF($A451="",N(K450),IF(ISNUMBER(SEARCH(Search!$B$3,$A451&amp;"")),N(K450)+1,N(K450))))</f>
        <v>0</v>
      </c>
    </row>
    <row r="452" customFormat="false" ht="15" hidden="false" customHeight="false" outlineLevel="0" collapsed="false">
      <c r="K452" s="24" t="n">
        <f aca="false">IF(Search!$B$3="",0,IF($A452="",N(K451),IF(ISNUMBER(SEARCH(Search!$B$3,$A452&amp;"")),N(K451)+1,N(K451))))</f>
        <v>0</v>
      </c>
    </row>
    <row r="453" customFormat="false" ht="15" hidden="false" customHeight="false" outlineLevel="0" collapsed="false">
      <c r="K453" s="24" t="n">
        <f aca="false">IF(Search!$B$3="",0,IF($A453="",N(K452),IF(ISNUMBER(SEARCH(Search!$B$3,$A453&amp;"")),N(K452)+1,N(K452))))</f>
        <v>0</v>
      </c>
    </row>
    <row r="454" customFormat="false" ht="15" hidden="false" customHeight="false" outlineLevel="0" collapsed="false">
      <c r="K454" s="24" t="n">
        <f aca="false">IF(Search!$B$3="",0,IF($A454="",N(K453),IF(ISNUMBER(SEARCH(Search!$B$3,$A454&amp;"")),N(K453)+1,N(K453))))</f>
        <v>0</v>
      </c>
    </row>
    <row r="455" customFormat="false" ht="15" hidden="false" customHeight="false" outlineLevel="0" collapsed="false">
      <c r="K455" s="24" t="n">
        <f aca="false">IF(Search!$B$3="",0,IF($A455="",N(K454),IF(ISNUMBER(SEARCH(Search!$B$3,$A455&amp;"")),N(K454)+1,N(K454))))</f>
        <v>0</v>
      </c>
    </row>
    <row r="456" customFormat="false" ht="15" hidden="false" customHeight="false" outlineLevel="0" collapsed="false">
      <c r="K456" s="24" t="n">
        <f aca="false">IF(Search!$B$3="",0,IF($A456="",N(K455),IF(ISNUMBER(SEARCH(Search!$B$3,$A456&amp;"")),N(K455)+1,N(K455))))</f>
        <v>0</v>
      </c>
    </row>
    <row r="457" customFormat="false" ht="15" hidden="false" customHeight="false" outlineLevel="0" collapsed="false">
      <c r="K457" s="24" t="n">
        <f aca="false">IF(Search!$B$3="",0,IF($A457="",N(K456),IF(ISNUMBER(SEARCH(Search!$B$3,$A457&amp;"")),N(K456)+1,N(K456))))</f>
        <v>0</v>
      </c>
    </row>
    <row r="458" customFormat="false" ht="15" hidden="false" customHeight="false" outlineLevel="0" collapsed="false">
      <c r="K458" s="24" t="n">
        <f aca="false">IF(Search!$B$3="",0,IF($A458="",N(K457),IF(ISNUMBER(SEARCH(Search!$B$3,$A458&amp;"")),N(K457)+1,N(K457))))</f>
        <v>0</v>
      </c>
    </row>
    <row r="459" customFormat="false" ht="15" hidden="false" customHeight="false" outlineLevel="0" collapsed="false">
      <c r="K459" s="24" t="n">
        <f aca="false">IF(Search!$B$3="",0,IF($A459="",N(K458),IF(ISNUMBER(SEARCH(Search!$B$3,$A459&amp;"")),N(K458)+1,N(K458))))</f>
        <v>0</v>
      </c>
    </row>
    <row r="460" customFormat="false" ht="15" hidden="false" customHeight="false" outlineLevel="0" collapsed="false">
      <c r="K460" s="24" t="n">
        <f aca="false">IF(Search!$B$3="",0,IF($A460="",N(K459),IF(ISNUMBER(SEARCH(Search!$B$3,$A460&amp;"")),N(K459)+1,N(K459))))</f>
        <v>0</v>
      </c>
    </row>
    <row r="461" customFormat="false" ht="15" hidden="false" customHeight="false" outlineLevel="0" collapsed="false">
      <c r="K461" s="24" t="n">
        <f aca="false">IF(Search!$B$3="",0,IF($A461="",N(K460),IF(ISNUMBER(SEARCH(Search!$B$3,$A461&amp;"")),N(K460)+1,N(K460))))</f>
        <v>0</v>
      </c>
    </row>
    <row r="462" customFormat="false" ht="15" hidden="false" customHeight="false" outlineLevel="0" collapsed="false">
      <c r="K462" s="24" t="n">
        <f aca="false">IF(Search!$B$3="",0,IF($A462="",N(K461),IF(ISNUMBER(SEARCH(Search!$B$3,$A462&amp;"")),N(K461)+1,N(K461))))</f>
        <v>0</v>
      </c>
    </row>
    <row r="463" customFormat="false" ht="15" hidden="false" customHeight="false" outlineLevel="0" collapsed="false">
      <c r="K463" s="24" t="n">
        <f aca="false">IF(Search!$B$3="",0,IF($A463="",N(K462),IF(ISNUMBER(SEARCH(Search!$B$3,$A463&amp;"")),N(K462)+1,N(K462))))</f>
        <v>0</v>
      </c>
    </row>
    <row r="464" customFormat="false" ht="15" hidden="false" customHeight="false" outlineLevel="0" collapsed="false">
      <c r="K464" s="24" t="n">
        <f aca="false">IF(Search!$B$3="",0,IF($A464="",N(K463),IF(ISNUMBER(SEARCH(Search!$B$3,$A464&amp;"")),N(K463)+1,N(K463))))</f>
        <v>0</v>
      </c>
    </row>
    <row r="465" customFormat="false" ht="15" hidden="false" customHeight="false" outlineLevel="0" collapsed="false">
      <c r="K465" s="24" t="n">
        <f aca="false">IF(Search!$B$3="",0,IF($A465="",N(K464),IF(ISNUMBER(SEARCH(Search!$B$3,$A465&amp;"")),N(K464)+1,N(K464))))</f>
        <v>0</v>
      </c>
    </row>
    <row r="466" customFormat="false" ht="15" hidden="false" customHeight="false" outlineLevel="0" collapsed="false">
      <c r="K466" s="24" t="n">
        <f aca="false">IF(Search!$B$3="",0,IF($A466="",N(K465),IF(ISNUMBER(SEARCH(Search!$B$3,$A466&amp;"")),N(K465)+1,N(K465))))</f>
        <v>0</v>
      </c>
    </row>
    <row r="467" customFormat="false" ht="15" hidden="false" customHeight="false" outlineLevel="0" collapsed="false">
      <c r="K467" s="24" t="n">
        <f aca="false">IF(Search!$B$3="",0,IF($A467="",N(K466),IF(ISNUMBER(SEARCH(Search!$B$3,$A467&amp;"")),N(K466)+1,N(K466))))</f>
        <v>0</v>
      </c>
    </row>
    <row r="468" customFormat="false" ht="15" hidden="false" customHeight="false" outlineLevel="0" collapsed="false">
      <c r="K468" s="24" t="n">
        <f aca="false">IF(Search!$B$3="",0,IF($A468="",N(K467),IF(ISNUMBER(SEARCH(Search!$B$3,$A468&amp;"")),N(K467)+1,N(K467))))</f>
        <v>0</v>
      </c>
    </row>
    <row r="469" customFormat="false" ht="15" hidden="false" customHeight="false" outlineLevel="0" collapsed="false">
      <c r="K469" s="24" t="n">
        <f aca="false">IF(Search!$B$3="",0,IF($A469="",N(K468),IF(ISNUMBER(SEARCH(Search!$B$3,$A469&amp;"")),N(K468)+1,N(K468))))</f>
        <v>0</v>
      </c>
    </row>
    <row r="470" customFormat="false" ht="15" hidden="false" customHeight="false" outlineLevel="0" collapsed="false">
      <c r="K470" s="24" t="n">
        <f aca="false">IF(Search!$B$3="",0,IF($A470="",N(K469),IF(ISNUMBER(SEARCH(Search!$B$3,$A470&amp;"")),N(K469)+1,N(K469))))</f>
        <v>0</v>
      </c>
    </row>
    <row r="471" customFormat="false" ht="15" hidden="false" customHeight="false" outlineLevel="0" collapsed="false">
      <c r="K471" s="24" t="n">
        <f aca="false">IF(Search!$B$3="",0,IF($A471="",N(K470),IF(ISNUMBER(SEARCH(Search!$B$3,$A471&amp;"")),N(K470)+1,N(K470))))</f>
        <v>0</v>
      </c>
    </row>
    <row r="472" customFormat="false" ht="15" hidden="false" customHeight="false" outlineLevel="0" collapsed="false">
      <c r="K472" s="24" t="n">
        <f aca="false">IF(Search!$B$3="",0,IF($A472="",N(K471),IF(ISNUMBER(SEARCH(Search!$B$3,$A472&amp;"")),N(K471)+1,N(K471))))</f>
        <v>0</v>
      </c>
    </row>
    <row r="473" customFormat="false" ht="15" hidden="false" customHeight="false" outlineLevel="0" collapsed="false">
      <c r="K473" s="24" t="n">
        <f aca="false">IF(Search!$B$3="",0,IF($A473="",N(K472),IF(ISNUMBER(SEARCH(Search!$B$3,$A473&amp;"")),N(K472)+1,N(K472))))</f>
        <v>0</v>
      </c>
    </row>
    <row r="474" customFormat="false" ht="15" hidden="false" customHeight="false" outlineLevel="0" collapsed="false">
      <c r="K474" s="24" t="n">
        <f aca="false">IF(Search!$B$3="",0,IF($A474="",N(K473),IF(ISNUMBER(SEARCH(Search!$B$3,$A474&amp;"")),N(K473)+1,N(K473))))</f>
        <v>0</v>
      </c>
    </row>
    <row r="475" customFormat="false" ht="15" hidden="false" customHeight="false" outlineLevel="0" collapsed="false">
      <c r="K475" s="24" t="n">
        <f aca="false">IF(Search!$B$3="",0,IF($A475="",N(K474),IF(ISNUMBER(SEARCH(Search!$B$3,$A475&amp;"")),N(K474)+1,N(K474))))</f>
        <v>0</v>
      </c>
    </row>
    <row r="476" customFormat="false" ht="15" hidden="false" customHeight="false" outlineLevel="0" collapsed="false">
      <c r="K476" s="24" t="n">
        <f aca="false">IF(Search!$B$3="",0,IF($A476="",N(K475),IF(ISNUMBER(SEARCH(Search!$B$3,$A476&amp;"")),N(K475)+1,N(K475))))</f>
        <v>0</v>
      </c>
    </row>
    <row r="477" customFormat="false" ht="15" hidden="false" customHeight="false" outlineLevel="0" collapsed="false">
      <c r="K477" s="24" t="n">
        <f aca="false">IF(Search!$B$3="",0,IF($A477="",N(K476),IF(ISNUMBER(SEARCH(Search!$B$3,$A477&amp;"")),N(K476)+1,N(K476))))</f>
        <v>0</v>
      </c>
    </row>
    <row r="478" customFormat="false" ht="15" hidden="false" customHeight="false" outlineLevel="0" collapsed="false">
      <c r="K478" s="24" t="n">
        <f aca="false">IF(Search!$B$3="",0,IF($A478="",N(K477),IF(ISNUMBER(SEARCH(Search!$B$3,$A478&amp;"")),N(K477)+1,N(K477))))</f>
        <v>0</v>
      </c>
    </row>
    <row r="479" customFormat="false" ht="15" hidden="false" customHeight="false" outlineLevel="0" collapsed="false">
      <c r="K479" s="24" t="n">
        <f aca="false">IF(Search!$B$3="",0,IF($A479="",N(K478),IF(ISNUMBER(SEARCH(Search!$B$3,$A479&amp;"")),N(K478)+1,N(K478))))</f>
        <v>0</v>
      </c>
    </row>
    <row r="480" customFormat="false" ht="15" hidden="false" customHeight="false" outlineLevel="0" collapsed="false">
      <c r="K480" s="24" t="n">
        <f aca="false">IF(Search!$B$3="",0,IF($A480="",N(K479),IF(ISNUMBER(SEARCH(Search!$B$3,$A480&amp;"")),N(K479)+1,N(K479))))</f>
        <v>0</v>
      </c>
    </row>
    <row r="481" customFormat="false" ht="15" hidden="false" customHeight="false" outlineLevel="0" collapsed="false">
      <c r="K481" s="24" t="n">
        <f aca="false">IF(Search!$B$3="",0,IF($A481="",N(K480),IF(ISNUMBER(SEARCH(Search!$B$3,$A481&amp;"")),N(K480)+1,N(K480))))</f>
        <v>0</v>
      </c>
    </row>
    <row r="482" customFormat="false" ht="15" hidden="false" customHeight="false" outlineLevel="0" collapsed="false">
      <c r="K482" s="24" t="n">
        <f aca="false">IF(Search!$B$3="",0,IF($A482="",N(K481),IF(ISNUMBER(SEARCH(Search!$B$3,$A482&amp;"")),N(K481)+1,N(K481))))</f>
        <v>0</v>
      </c>
    </row>
    <row r="483" customFormat="false" ht="15" hidden="false" customHeight="false" outlineLevel="0" collapsed="false">
      <c r="K483" s="24" t="n">
        <f aca="false">IF(Search!$B$3="",0,IF($A483="",N(K482),IF(ISNUMBER(SEARCH(Search!$B$3,$A483&amp;"")),N(K482)+1,N(K482))))</f>
        <v>0</v>
      </c>
    </row>
    <row r="484" customFormat="false" ht="15" hidden="false" customHeight="false" outlineLevel="0" collapsed="false">
      <c r="K484" s="24" t="n">
        <f aca="false">IF(Search!$B$3="",0,IF($A484="",N(K483),IF(ISNUMBER(SEARCH(Search!$B$3,$A484&amp;"")),N(K483)+1,N(K483))))</f>
        <v>0</v>
      </c>
    </row>
    <row r="485" customFormat="false" ht="15" hidden="false" customHeight="false" outlineLevel="0" collapsed="false">
      <c r="K485" s="24" t="n">
        <f aca="false">IF(Search!$B$3="",0,IF($A485="",N(K484),IF(ISNUMBER(SEARCH(Search!$B$3,$A485&amp;"")),N(K484)+1,N(K484))))</f>
        <v>0</v>
      </c>
    </row>
    <row r="486" customFormat="false" ht="15" hidden="false" customHeight="false" outlineLevel="0" collapsed="false">
      <c r="K486" s="24" t="n">
        <f aca="false">IF(Search!$B$3="",0,IF($A486="",N(K485),IF(ISNUMBER(SEARCH(Search!$B$3,$A486&amp;"")),N(K485)+1,N(K485))))</f>
        <v>0</v>
      </c>
    </row>
    <row r="487" customFormat="false" ht="15" hidden="false" customHeight="false" outlineLevel="0" collapsed="false">
      <c r="K487" s="24" t="n">
        <f aca="false">IF(Search!$B$3="",0,IF($A487="",N(K486),IF(ISNUMBER(SEARCH(Search!$B$3,$A487&amp;"")),N(K486)+1,N(K486))))</f>
        <v>0</v>
      </c>
    </row>
    <row r="488" customFormat="false" ht="15" hidden="false" customHeight="false" outlineLevel="0" collapsed="false">
      <c r="K488" s="24" t="n">
        <f aca="false">IF(Search!$B$3="",0,IF($A488="",N(K487),IF(ISNUMBER(SEARCH(Search!$B$3,$A488&amp;"")),N(K487)+1,N(K487))))</f>
        <v>0</v>
      </c>
    </row>
    <row r="489" customFormat="false" ht="15" hidden="false" customHeight="false" outlineLevel="0" collapsed="false">
      <c r="K489" s="24" t="n">
        <f aca="false">IF(Search!$B$3="",0,IF($A489="",N(K488),IF(ISNUMBER(SEARCH(Search!$B$3,$A489&amp;"")),N(K488)+1,N(K488))))</f>
        <v>0</v>
      </c>
    </row>
    <row r="490" customFormat="false" ht="15" hidden="false" customHeight="false" outlineLevel="0" collapsed="false">
      <c r="K490" s="24" t="n">
        <f aca="false">IF(Search!$B$3="",0,IF($A490="",N(K489),IF(ISNUMBER(SEARCH(Search!$B$3,$A490&amp;"")),N(K489)+1,N(K489))))</f>
        <v>0</v>
      </c>
    </row>
    <row r="491" customFormat="false" ht="15" hidden="false" customHeight="false" outlineLevel="0" collapsed="false">
      <c r="K491" s="24" t="n">
        <f aca="false">IF(Search!$B$3="",0,IF($A491="",N(K490),IF(ISNUMBER(SEARCH(Search!$B$3,$A491&amp;"")),N(K490)+1,N(K490))))</f>
        <v>0</v>
      </c>
    </row>
    <row r="492" customFormat="false" ht="15" hidden="false" customHeight="false" outlineLevel="0" collapsed="false">
      <c r="K492" s="24" t="n">
        <f aca="false">IF(Search!$B$3="",0,IF($A492="",N(K491),IF(ISNUMBER(SEARCH(Search!$B$3,$A492&amp;"")),N(K491)+1,N(K491))))</f>
        <v>0</v>
      </c>
    </row>
    <row r="493" customFormat="false" ht="15" hidden="false" customHeight="false" outlineLevel="0" collapsed="false">
      <c r="K493" s="24" t="n">
        <f aca="false">IF(Search!$B$3="",0,IF($A493="",N(K492),IF(ISNUMBER(SEARCH(Search!$B$3,$A493&amp;"")),N(K492)+1,N(K492))))</f>
        <v>0</v>
      </c>
    </row>
    <row r="494" customFormat="false" ht="15" hidden="false" customHeight="false" outlineLevel="0" collapsed="false">
      <c r="K494" s="24" t="n">
        <f aca="false">IF(Search!$B$3="",0,IF($A494="",N(K493),IF(ISNUMBER(SEARCH(Search!$B$3,$A494&amp;"")),N(K493)+1,N(K493))))</f>
        <v>0</v>
      </c>
    </row>
    <row r="495" customFormat="false" ht="15" hidden="false" customHeight="false" outlineLevel="0" collapsed="false">
      <c r="K495" s="24" t="n">
        <f aca="false">IF(Search!$B$3="",0,IF($A495="",N(K494),IF(ISNUMBER(SEARCH(Search!$B$3,$A495&amp;"")),N(K494)+1,N(K494))))</f>
        <v>0</v>
      </c>
    </row>
    <row r="496" customFormat="false" ht="15" hidden="false" customHeight="false" outlineLevel="0" collapsed="false">
      <c r="K496" s="24" t="n">
        <f aca="false">IF(Search!$B$3="",0,IF($A496="",N(K495),IF(ISNUMBER(SEARCH(Search!$B$3,$A496&amp;"")),N(K495)+1,N(K495))))</f>
        <v>0</v>
      </c>
    </row>
    <row r="497" customFormat="false" ht="15" hidden="false" customHeight="false" outlineLevel="0" collapsed="false">
      <c r="K497" s="24" t="n">
        <f aca="false">IF(Search!$B$3="",0,IF($A497="",N(K496),IF(ISNUMBER(SEARCH(Search!$B$3,$A497&amp;"")),N(K496)+1,N(K496))))</f>
        <v>0</v>
      </c>
    </row>
    <row r="498" customFormat="false" ht="15" hidden="false" customHeight="false" outlineLevel="0" collapsed="false">
      <c r="K498" s="24" t="n">
        <f aca="false">IF(Search!$B$3="",0,IF($A498="",N(K497),IF(ISNUMBER(SEARCH(Search!$B$3,$A498&amp;"")),N(K497)+1,N(K497))))</f>
        <v>0</v>
      </c>
    </row>
    <row r="499" customFormat="false" ht="15" hidden="false" customHeight="false" outlineLevel="0" collapsed="false">
      <c r="K499" s="24" t="n">
        <f aca="false">IF(Search!$B$3="",0,IF($A499="",N(K498),IF(ISNUMBER(SEARCH(Search!$B$3,$A499&amp;"")),N(K498)+1,N(K498))))</f>
        <v>0</v>
      </c>
    </row>
    <row r="500" customFormat="false" ht="15" hidden="false" customHeight="false" outlineLevel="0" collapsed="false">
      <c r="K500" s="24" t="n">
        <f aca="false">IF(Search!$B$3="",0,IF($A500="",N(K499),IF(ISNUMBER(SEARCH(Search!$B$3,$A500&amp;"")),N(K499)+1,N(K499))))</f>
        <v>0</v>
      </c>
    </row>
    <row r="501" customFormat="false" ht="15" hidden="false" customHeight="false" outlineLevel="0" collapsed="false">
      <c r="K501" s="24" t="n">
        <f aca="false">IF(Search!$B$3="",0,IF($A501="",N(K500),IF(ISNUMBER(SEARCH(Search!$B$3,$A501&amp;"")),N(K500)+1,N(K500))))</f>
        <v>0</v>
      </c>
    </row>
    <row r="502" customFormat="false" ht="15" hidden="false" customHeight="false" outlineLevel="0" collapsed="false">
      <c r="K502" s="24" t="n">
        <f aca="false">IF(Search!$B$3="",0,IF($A502="",N(K501),IF(ISNUMBER(SEARCH(Search!$B$3,$A502&amp;"")),N(K501)+1,N(K501))))</f>
        <v>0</v>
      </c>
    </row>
    <row r="503" customFormat="false" ht="15" hidden="false" customHeight="false" outlineLevel="0" collapsed="false">
      <c r="K503" s="24" t="n">
        <f aca="false">IF(Search!$B$3="",0,IF($A503="",N(K502),IF(ISNUMBER(SEARCH(Search!$B$3,$A503&amp;"")),N(K502)+1,N(K502))))</f>
        <v>0</v>
      </c>
    </row>
    <row r="504" customFormat="false" ht="15" hidden="false" customHeight="false" outlineLevel="0" collapsed="false">
      <c r="K504" s="24" t="n">
        <f aca="false">IF(Search!$B$3="",0,IF($A504="",N(K503),IF(ISNUMBER(SEARCH(Search!$B$3,$A504&amp;"")),N(K503)+1,N(K503))))</f>
        <v>0</v>
      </c>
    </row>
    <row r="505" customFormat="false" ht="15" hidden="false" customHeight="false" outlineLevel="0" collapsed="false">
      <c r="K505" s="24" t="n">
        <f aca="false">IF(Search!$B$3="",0,IF($A505="",N(K504),IF(ISNUMBER(SEARCH(Search!$B$3,$A505&amp;"")),N(K504)+1,N(K504))))</f>
        <v>0</v>
      </c>
    </row>
    <row r="506" customFormat="false" ht="15" hidden="false" customHeight="false" outlineLevel="0" collapsed="false">
      <c r="K506" s="24" t="n">
        <f aca="false">IF(Search!$B$3="",0,IF($A506="",N(K505),IF(ISNUMBER(SEARCH(Search!$B$3,$A506&amp;"")),N(K505)+1,N(K505))))</f>
        <v>0</v>
      </c>
    </row>
    <row r="507" customFormat="false" ht="15" hidden="false" customHeight="false" outlineLevel="0" collapsed="false">
      <c r="K507" s="24" t="n">
        <f aca="false">IF(Search!$B$3="",0,IF($A507="",N(K506),IF(ISNUMBER(SEARCH(Search!$B$3,$A507&amp;"")),N(K506)+1,N(K506))))</f>
        <v>0</v>
      </c>
    </row>
    <row r="508" customFormat="false" ht="15" hidden="false" customHeight="false" outlineLevel="0" collapsed="false">
      <c r="K508" s="24" t="n">
        <f aca="false">IF(Search!$B$3="",0,IF($A508="",N(K507),IF(ISNUMBER(SEARCH(Search!$B$3,$A508&amp;"")),N(K507)+1,N(K507))))</f>
        <v>0</v>
      </c>
    </row>
    <row r="509" customFormat="false" ht="15" hidden="false" customHeight="false" outlineLevel="0" collapsed="false">
      <c r="K509" s="24" t="n">
        <f aca="false">IF(Search!$B$3="",0,IF($A509="",N(K508),IF(ISNUMBER(SEARCH(Search!$B$3,$A509&amp;"")),N(K508)+1,N(K508))))</f>
        <v>0</v>
      </c>
    </row>
    <row r="510" customFormat="false" ht="15" hidden="false" customHeight="false" outlineLevel="0" collapsed="false">
      <c r="K510" s="24" t="n">
        <f aca="false">IF(Search!$B$3="",0,IF($A510="",N(K509),IF(ISNUMBER(SEARCH(Search!$B$3,$A510&amp;"")),N(K509)+1,N(K509))))</f>
        <v>0</v>
      </c>
    </row>
    <row r="511" customFormat="false" ht="15" hidden="false" customHeight="false" outlineLevel="0" collapsed="false">
      <c r="K511" s="24" t="n">
        <f aca="false">IF(Search!$B$3="",0,IF($A511="",N(K510),IF(ISNUMBER(SEARCH(Search!$B$3,$A511&amp;"")),N(K510)+1,N(K510))))</f>
        <v>0</v>
      </c>
    </row>
    <row r="512" customFormat="false" ht="15" hidden="false" customHeight="false" outlineLevel="0" collapsed="false">
      <c r="K512" s="24" t="n">
        <f aca="false">IF(Search!$B$3="",0,IF($A512="",N(K511),IF(ISNUMBER(SEARCH(Search!$B$3,$A512&amp;"")),N(K511)+1,N(K511))))</f>
        <v>0</v>
      </c>
    </row>
    <row r="513" customFormat="false" ht="15" hidden="false" customHeight="false" outlineLevel="0" collapsed="false">
      <c r="K513" s="24" t="n">
        <f aca="false">IF(Search!$B$3="",0,IF($A513="",N(K512),IF(ISNUMBER(SEARCH(Search!$B$3,$A513&amp;"")),N(K512)+1,N(K512))))</f>
        <v>0</v>
      </c>
    </row>
    <row r="514" customFormat="false" ht="15" hidden="false" customHeight="false" outlineLevel="0" collapsed="false">
      <c r="K514" s="24" t="n">
        <f aca="false">IF(Search!$B$3="",0,IF($A514="",N(K513),IF(ISNUMBER(SEARCH(Search!$B$3,$A514&amp;"")),N(K513)+1,N(K513))))</f>
        <v>0</v>
      </c>
    </row>
    <row r="515" customFormat="false" ht="15" hidden="false" customHeight="false" outlineLevel="0" collapsed="false">
      <c r="K515" s="24" t="n">
        <f aca="false">IF(Search!$B$3="",0,IF($A515="",N(K514),IF(ISNUMBER(SEARCH(Search!$B$3,$A515&amp;"")),N(K514)+1,N(K514))))</f>
        <v>0</v>
      </c>
    </row>
    <row r="516" customFormat="false" ht="15" hidden="false" customHeight="false" outlineLevel="0" collapsed="false">
      <c r="K516" s="24" t="n">
        <f aca="false">IF(Search!$B$3="",0,IF($A516="",N(K515),IF(ISNUMBER(SEARCH(Search!$B$3,$A516&amp;"")),N(K515)+1,N(K515))))</f>
        <v>0</v>
      </c>
    </row>
    <row r="517" customFormat="false" ht="15" hidden="false" customHeight="false" outlineLevel="0" collapsed="false">
      <c r="K517" s="24" t="n">
        <f aca="false">IF(Search!$B$3="",0,IF($A517="",N(K516),IF(ISNUMBER(SEARCH(Search!$B$3,$A517&amp;"")),N(K516)+1,N(K516))))</f>
        <v>0</v>
      </c>
    </row>
    <row r="518" customFormat="false" ht="15" hidden="false" customHeight="false" outlineLevel="0" collapsed="false">
      <c r="K518" s="24" t="n">
        <f aca="false">IF(Search!$B$3="",0,IF($A518="",N(K517),IF(ISNUMBER(SEARCH(Search!$B$3,$A518&amp;"")),N(K517)+1,N(K517))))</f>
        <v>0</v>
      </c>
    </row>
    <row r="519" customFormat="false" ht="15" hidden="false" customHeight="false" outlineLevel="0" collapsed="false">
      <c r="K519" s="24" t="n">
        <f aca="false">IF(Search!$B$3="",0,IF($A519="",N(K518),IF(ISNUMBER(SEARCH(Search!$B$3,$A519&amp;"")),N(K518)+1,N(K518))))</f>
        <v>0</v>
      </c>
    </row>
    <row r="520" customFormat="false" ht="15" hidden="false" customHeight="false" outlineLevel="0" collapsed="false">
      <c r="K520" s="24" t="n">
        <f aca="false">IF(Search!$B$3="",0,IF($A520="",N(K519),IF(ISNUMBER(SEARCH(Search!$B$3,$A520&amp;"")),N(K519)+1,N(K519))))</f>
        <v>0</v>
      </c>
    </row>
    <row r="521" customFormat="false" ht="15" hidden="false" customHeight="false" outlineLevel="0" collapsed="false">
      <c r="K521" s="24" t="n">
        <f aca="false">IF(Search!$B$3="",0,IF($A521="",N(K520),IF(ISNUMBER(SEARCH(Search!$B$3,$A521&amp;"")),N(K520)+1,N(K520))))</f>
        <v>0</v>
      </c>
    </row>
    <row r="522" customFormat="false" ht="15" hidden="false" customHeight="false" outlineLevel="0" collapsed="false">
      <c r="K522" s="24" t="n">
        <f aca="false">IF(Search!$B$3="",0,IF($A522="",N(K521),IF(ISNUMBER(SEARCH(Search!$B$3,$A522&amp;"")),N(K521)+1,N(K521))))</f>
        <v>0</v>
      </c>
    </row>
    <row r="523" customFormat="false" ht="15" hidden="false" customHeight="false" outlineLevel="0" collapsed="false">
      <c r="K523" s="24" t="n">
        <f aca="false">IF(Search!$B$3="",0,IF($A523="",N(K522),IF(ISNUMBER(SEARCH(Search!$B$3,$A523&amp;"")),N(K522)+1,N(K522))))</f>
        <v>0</v>
      </c>
    </row>
    <row r="524" customFormat="false" ht="15" hidden="false" customHeight="false" outlineLevel="0" collapsed="false">
      <c r="K524" s="24" t="n">
        <f aca="false">IF(Search!$B$3="",0,IF($A524="",N(K523),IF(ISNUMBER(SEARCH(Search!$B$3,$A524&amp;"")),N(K523)+1,N(K523))))</f>
        <v>0</v>
      </c>
    </row>
    <row r="525" customFormat="false" ht="15" hidden="false" customHeight="false" outlineLevel="0" collapsed="false">
      <c r="K525" s="24" t="n">
        <f aca="false">IF(Search!$B$3="",0,IF($A525="",N(K524),IF(ISNUMBER(SEARCH(Search!$B$3,$A525&amp;"")),N(K524)+1,N(K524))))</f>
        <v>0</v>
      </c>
    </row>
    <row r="526" customFormat="false" ht="15" hidden="false" customHeight="false" outlineLevel="0" collapsed="false">
      <c r="K526" s="24" t="n">
        <f aca="false">IF(Search!$B$3="",0,IF($A526="",N(K525),IF(ISNUMBER(SEARCH(Search!$B$3,$A526&amp;"")),N(K525)+1,N(K525))))</f>
        <v>0</v>
      </c>
    </row>
    <row r="527" customFormat="false" ht="15" hidden="false" customHeight="false" outlineLevel="0" collapsed="false">
      <c r="K527" s="24" t="n">
        <f aca="false">IF(Search!$B$3="",0,IF($A527="",N(K526),IF(ISNUMBER(SEARCH(Search!$B$3,$A527&amp;"")),N(K526)+1,N(K526))))</f>
        <v>0</v>
      </c>
    </row>
    <row r="528" customFormat="false" ht="15" hidden="false" customHeight="false" outlineLevel="0" collapsed="false">
      <c r="K528" s="24" t="n">
        <f aca="false">IF(Search!$B$3="",0,IF($A528="",N(K527),IF(ISNUMBER(SEARCH(Search!$B$3,$A528&amp;"")),N(K527)+1,N(K527))))</f>
        <v>0</v>
      </c>
    </row>
    <row r="529" customFormat="false" ht="15" hidden="false" customHeight="false" outlineLevel="0" collapsed="false">
      <c r="K529" s="24" t="n">
        <f aca="false">IF(Search!$B$3="",0,IF($A529="",N(K528),IF(ISNUMBER(SEARCH(Search!$B$3,$A529&amp;"")),N(K528)+1,N(K528))))</f>
        <v>0</v>
      </c>
    </row>
    <row r="530" customFormat="false" ht="15" hidden="false" customHeight="false" outlineLevel="0" collapsed="false">
      <c r="K530" s="24" t="n">
        <f aca="false">IF(Search!$B$3="",0,IF($A530="",N(K529),IF(ISNUMBER(SEARCH(Search!$B$3,$A530&amp;"")),N(K529)+1,N(K529))))</f>
        <v>0</v>
      </c>
    </row>
    <row r="531" customFormat="false" ht="15" hidden="false" customHeight="false" outlineLevel="0" collapsed="false">
      <c r="K531" s="24" t="n">
        <f aca="false">IF(Search!$B$3="",0,IF($A531="",N(K530),IF(ISNUMBER(SEARCH(Search!$B$3,$A531&amp;"")),N(K530)+1,N(K530))))</f>
        <v>0</v>
      </c>
    </row>
    <row r="532" customFormat="false" ht="15" hidden="false" customHeight="false" outlineLevel="0" collapsed="false">
      <c r="K532" s="24" t="n">
        <f aca="false">IF(Search!$B$3="",0,IF($A532="",N(K531),IF(ISNUMBER(SEARCH(Search!$B$3,$A532&amp;"")),N(K531)+1,N(K531))))</f>
        <v>0</v>
      </c>
    </row>
    <row r="533" customFormat="false" ht="15" hidden="false" customHeight="false" outlineLevel="0" collapsed="false">
      <c r="K533" s="24" t="n">
        <f aca="false">IF(Search!$B$3="",0,IF($A533="",N(K532),IF(ISNUMBER(SEARCH(Search!$B$3,$A533&amp;"")),N(K532)+1,N(K532))))</f>
        <v>0</v>
      </c>
    </row>
    <row r="534" customFormat="false" ht="15" hidden="false" customHeight="false" outlineLevel="0" collapsed="false">
      <c r="K534" s="24" t="n">
        <f aca="false">IF(Search!$B$3="",0,IF($A534="",N(K533),IF(ISNUMBER(SEARCH(Search!$B$3,$A534&amp;"")),N(K533)+1,N(K533))))</f>
        <v>0</v>
      </c>
    </row>
    <row r="535" customFormat="false" ht="15" hidden="false" customHeight="false" outlineLevel="0" collapsed="false">
      <c r="K535" s="24" t="n">
        <f aca="false">IF(Search!$B$3="",0,IF($A535="",N(K534),IF(ISNUMBER(SEARCH(Search!$B$3,$A535&amp;"")),N(K534)+1,N(K534))))</f>
        <v>0</v>
      </c>
    </row>
    <row r="536" customFormat="false" ht="15" hidden="false" customHeight="false" outlineLevel="0" collapsed="false">
      <c r="K536" s="24" t="n">
        <f aca="false">IF(Search!$B$3="",0,IF($A536="",N(K535),IF(ISNUMBER(SEARCH(Search!$B$3,$A536&amp;"")),N(K535)+1,N(K535))))</f>
        <v>0</v>
      </c>
    </row>
    <row r="537" customFormat="false" ht="15" hidden="false" customHeight="false" outlineLevel="0" collapsed="false">
      <c r="K537" s="24" t="n">
        <f aca="false">IF(Search!$B$3="",0,IF($A537="",N(K536),IF(ISNUMBER(SEARCH(Search!$B$3,$A537&amp;"")),N(K536)+1,N(K536))))</f>
        <v>0</v>
      </c>
    </row>
    <row r="538" customFormat="false" ht="15" hidden="false" customHeight="false" outlineLevel="0" collapsed="false">
      <c r="K538" s="24" t="n">
        <f aca="false">IF(Search!$B$3="",0,IF($A538="",N(K537),IF(ISNUMBER(SEARCH(Search!$B$3,$A538&amp;"")),N(K537)+1,N(K537))))</f>
        <v>0</v>
      </c>
    </row>
    <row r="539" customFormat="false" ht="15" hidden="false" customHeight="false" outlineLevel="0" collapsed="false">
      <c r="K539" s="24" t="n">
        <f aca="false">IF(Search!$B$3="",0,IF($A539="",N(K538),IF(ISNUMBER(SEARCH(Search!$B$3,$A539&amp;"")),N(K538)+1,N(K538))))</f>
        <v>0</v>
      </c>
    </row>
    <row r="540" customFormat="false" ht="15" hidden="false" customHeight="false" outlineLevel="0" collapsed="false">
      <c r="K540" s="24" t="n">
        <f aca="false">IF(Search!$B$3="",0,IF($A540="",N(K539),IF(ISNUMBER(SEARCH(Search!$B$3,$A540&amp;"")),N(K539)+1,N(K539))))</f>
        <v>0</v>
      </c>
    </row>
    <row r="541" customFormat="false" ht="15" hidden="false" customHeight="false" outlineLevel="0" collapsed="false">
      <c r="K541" s="24" t="n">
        <f aca="false">IF(Search!$B$3="",0,IF($A541="",N(K540),IF(ISNUMBER(SEARCH(Search!$B$3,$A541&amp;"")),N(K540)+1,N(K540))))</f>
        <v>0</v>
      </c>
    </row>
    <row r="542" customFormat="false" ht="15" hidden="false" customHeight="false" outlineLevel="0" collapsed="false">
      <c r="K542" s="24" t="n">
        <f aca="false">IF(Search!$B$3="",0,IF($A542="",N(K541),IF(ISNUMBER(SEARCH(Search!$B$3,$A542&amp;"")),N(K541)+1,N(K541))))</f>
        <v>0</v>
      </c>
    </row>
    <row r="543" customFormat="false" ht="15" hidden="false" customHeight="false" outlineLevel="0" collapsed="false">
      <c r="K543" s="24" t="n">
        <f aca="false">IF(Search!$B$3="",0,IF($A543="",N(K542),IF(ISNUMBER(SEARCH(Search!$B$3,$A543&amp;"")),N(K542)+1,N(K542))))</f>
        <v>0</v>
      </c>
    </row>
    <row r="544" customFormat="false" ht="15" hidden="false" customHeight="false" outlineLevel="0" collapsed="false">
      <c r="K544" s="24" t="n">
        <f aca="false">IF(Search!$B$3="",0,IF($A544="",N(K543),IF(ISNUMBER(SEARCH(Search!$B$3,$A544&amp;"")),N(K543)+1,N(K543))))</f>
        <v>0</v>
      </c>
    </row>
    <row r="545" customFormat="false" ht="15" hidden="false" customHeight="false" outlineLevel="0" collapsed="false">
      <c r="K545" s="24" t="n">
        <f aca="false">IF(Search!$B$3="",0,IF($A545="",N(K544),IF(ISNUMBER(SEARCH(Search!$B$3,$A545&amp;"")),N(K544)+1,N(K544))))</f>
        <v>0</v>
      </c>
    </row>
    <row r="546" customFormat="false" ht="15" hidden="false" customHeight="false" outlineLevel="0" collapsed="false">
      <c r="K546" s="24" t="n">
        <f aca="false">IF(Search!$B$3="",0,IF($A546="",N(K545),IF(ISNUMBER(SEARCH(Search!$B$3,$A546&amp;"")),N(K545)+1,N(K545))))</f>
        <v>0</v>
      </c>
    </row>
    <row r="547" customFormat="false" ht="15" hidden="false" customHeight="false" outlineLevel="0" collapsed="false">
      <c r="K547" s="24" t="n">
        <f aca="false">IF(Search!$B$3="",0,IF($A547="",N(K546),IF(ISNUMBER(SEARCH(Search!$B$3,$A547&amp;"")),N(K546)+1,N(K546))))</f>
        <v>0</v>
      </c>
    </row>
    <row r="548" customFormat="false" ht="15" hidden="false" customHeight="false" outlineLevel="0" collapsed="false">
      <c r="K548" s="24" t="n">
        <f aca="false">IF(Search!$B$3="",0,IF($A548="",N(K547),IF(ISNUMBER(SEARCH(Search!$B$3,$A548&amp;"")),N(K547)+1,N(K547))))</f>
        <v>0</v>
      </c>
    </row>
    <row r="549" customFormat="false" ht="15" hidden="false" customHeight="false" outlineLevel="0" collapsed="false">
      <c r="K549" s="24" t="n">
        <f aca="false">IF(Search!$B$3="",0,IF($A549="",N(K548),IF(ISNUMBER(SEARCH(Search!$B$3,$A549&amp;"")),N(K548)+1,N(K548))))</f>
        <v>0</v>
      </c>
    </row>
    <row r="550" customFormat="false" ht="15" hidden="false" customHeight="false" outlineLevel="0" collapsed="false">
      <c r="K550" s="24" t="n">
        <f aca="false">IF(Search!$B$3="",0,IF($A550="",N(K549),IF(ISNUMBER(SEARCH(Search!$B$3,$A550&amp;"")),N(K549)+1,N(K549))))</f>
        <v>0</v>
      </c>
    </row>
    <row r="551" customFormat="false" ht="15" hidden="false" customHeight="false" outlineLevel="0" collapsed="false">
      <c r="K551" s="24" t="n">
        <f aca="false">IF(Search!$B$3="",0,IF($A551="",N(K550),IF(ISNUMBER(SEARCH(Search!$B$3,$A551&amp;"")),N(K550)+1,N(K550))))</f>
        <v>0</v>
      </c>
    </row>
    <row r="552" customFormat="false" ht="15" hidden="false" customHeight="false" outlineLevel="0" collapsed="false">
      <c r="K552" s="24" t="n">
        <f aca="false">IF(Search!$B$3="",0,IF($A552="",N(K551),IF(ISNUMBER(SEARCH(Search!$B$3,$A552&amp;"")),N(K551)+1,N(K551))))</f>
        <v>0</v>
      </c>
    </row>
    <row r="553" customFormat="false" ht="15" hidden="false" customHeight="false" outlineLevel="0" collapsed="false">
      <c r="K553" s="24" t="n">
        <f aca="false">IF(Search!$B$3="",0,IF($A553="",N(K552),IF(ISNUMBER(SEARCH(Search!$B$3,$A553&amp;"")),N(K552)+1,N(K552))))</f>
        <v>0</v>
      </c>
    </row>
    <row r="554" customFormat="false" ht="15" hidden="false" customHeight="false" outlineLevel="0" collapsed="false">
      <c r="K554" s="24" t="n">
        <f aca="false">IF(Search!$B$3="",0,IF($A554="",N(K553),IF(ISNUMBER(SEARCH(Search!$B$3,$A554&amp;"")),N(K553)+1,N(K553))))</f>
        <v>0</v>
      </c>
    </row>
    <row r="555" customFormat="false" ht="15" hidden="false" customHeight="false" outlineLevel="0" collapsed="false">
      <c r="K555" s="24" t="n">
        <f aca="false">IF(Search!$B$3="",0,IF($A555="",N(K554),IF(ISNUMBER(SEARCH(Search!$B$3,$A555&amp;"")),N(K554)+1,N(K554))))</f>
        <v>0</v>
      </c>
    </row>
    <row r="556" customFormat="false" ht="15" hidden="false" customHeight="false" outlineLevel="0" collapsed="false">
      <c r="K556" s="24" t="n">
        <f aca="false">IF(Search!$B$3="",0,IF($A556="",N(K555),IF(ISNUMBER(SEARCH(Search!$B$3,$A556&amp;"")),N(K555)+1,N(K555))))</f>
        <v>0</v>
      </c>
    </row>
    <row r="557" customFormat="false" ht="15" hidden="false" customHeight="false" outlineLevel="0" collapsed="false">
      <c r="K557" s="24" t="n">
        <f aca="false">IF(Search!$B$3="",0,IF($A557="",N(K556),IF(ISNUMBER(SEARCH(Search!$B$3,$A557&amp;"")),N(K556)+1,N(K556))))</f>
        <v>0</v>
      </c>
    </row>
    <row r="558" customFormat="false" ht="15" hidden="false" customHeight="false" outlineLevel="0" collapsed="false">
      <c r="K558" s="24" t="n">
        <f aca="false">IF(Search!$B$3="",0,IF($A558="",N(K557),IF(ISNUMBER(SEARCH(Search!$B$3,$A558&amp;"")),N(K557)+1,N(K557))))</f>
        <v>0</v>
      </c>
    </row>
    <row r="559" customFormat="false" ht="15" hidden="false" customHeight="false" outlineLevel="0" collapsed="false">
      <c r="K559" s="24" t="n">
        <f aca="false">IF(Search!$B$3="",0,IF($A559="",N(K558),IF(ISNUMBER(SEARCH(Search!$B$3,$A559&amp;"")),N(K558)+1,N(K558))))</f>
        <v>0</v>
      </c>
    </row>
    <row r="560" customFormat="false" ht="15" hidden="false" customHeight="false" outlineLevel="0" collapsed="false">
      <c r="K560" s="24" t="n">
        <f aca="false">IF(Search!$B$3="",0,IF($A560="",N(K559),IF(ISNUMBER(SEARCH(Search!$B$3,$A560&amp;"")),N(K559)+1,N(K559))))</f>
        <v>0</v>
      </c>
    </row>
    <row r="561" customFormat="false" ht="15" hidden="false" customHeight="false" outlineLevel="0" collapsed="false">
      <c r="K561" s="24" t="n">
        <f aca="false">IF(Search!$B$3="",0,IF($A561="",N(K560),IF(ISNUMBER(SEARCH(Search!$B$3,$A561&amp;"")),N(K560)+1,N(K560))))</f>
        <v>0</v>
      </c>
    </row>
    <row r="562" customFormat="false" ht="15" hidden="false" customHeight="false" outlineLevel="0" collapsed="false">
      <c r="K562" s="24" t="n">
        <f aca="false">IF(Search!$B$3="",0,IF($A562="",N(K561),IF(ISNUMBER(SEARCH(Search!$B$3,$A562&amp;"")),N(K561)+1,N(K561))))</f>
        <v>0</v>
      </c>
    </row>
    <row r="563" customFormat="false" ht="15" hidden="false" customHeight="false" outlineLevel="0" collapsed="false">
      <c r="K563" s="24" t="n">
        <f aca="false">IF(Search!$B$3="",0,IF($A563="",N(K562),IF(ISNUMBER(SEARCH(Search!$B$3,$A563&amp;"")),N(K562)+1,N(K562))))</f>
        <v>0</v>
      </c>
    </row>
    <row r="564" customFormat="false" ht="15" hidden="false" customHeight="false" outlineLevel="0" collapsed="false">
      <c r="K564" s="24" t="n">
        <f aca="false">IF(Search!$B$3="",0,IF($A564="",N(K563),IF(ISNUMBER(SEARCH(Search!$B$3,$A564&amp;"")),N(K563)+1,N(K563))))</f>
        <v>0</v>
      </c>
    </row>
    <row r="565" customFormat="false" ht="15" hidden="false" customHeight="false" outlineLevel="0" collapsed="false">
      <c r="K565" s="24" t="n">
        <f aca="false">IF(Search!$B$3="",0,IF($A565="",N(K564),IF(ISNUMBER(SEARCH(Search!$B$3,$A565&amp;"")),N(K564)+1,N(K564))))</f>
        <v>0</v>
      </c>
    </row>
    <row r="566" customFormat="false" ht="15" hidden="false" customHeight="false" outlineLevel="0" collapsed="false">
      <c r="K566" s="24" t="n">
        <f aca="false">IF(Search!$B$3="",0,IF($A566="",N(K565),IF(ISNUMBER(SEARCH(Search!$B$3,$A566&amp;"")),N(K565)+1,N(K565))))</f>
        <v>0</v>
      </c>
    </row>
    <row r="567" customFormat="false" ht="15" hidden="false" customHeight="false" outlineLevel="0" collapsed="false">
      <c r="K567" s="24" t="n">
        <f aca="false">IF(Search!$B$3="",0,IF($A567="",N(K566),IF(ISNUMBER(SEARCH(Search!$B$3,$A567&amp;"")),N(K566)+1,N(K566))))</f>
        <v>0</v>
      </c>
    </row>
    <row r="568" customFormat="false" ht="15" hidden="false" customHeight="false" outlineLevel="0" collapsed="false">
      <c r="K568" s="24" t="n">
        <f aca="false">IF(Search!$B$3="",0,IF($A568="",N(K567),IF(ISNUMBER(SEARCH(Search!$B$3,$A568&amp;"")),N(K567)+1,N(K567))))</f>
        <v>0</v>
      </c>
    </row>
    <row r="569" customFormat="false" ht="15" hidden="false" customHeight="false" outlineLevel="0" collapsed="false">
      <c r="K569" s="24" t="n">
        <f aca="false">IF(Search!$B$3="",0,IF($A569="",N(K568),IF(ISNUMBER(SEARCH(Search!$B$3,$A569&amp;"")),N(K568)+1,N(K568))))</f>
        <v>0</v>
      </c>
    </row>
    <row r="570" customFormat="false" ht="15" hidden="false" customHeight="false" outlineLevel="0" collapsed="false">
      <c r="K570" s="24" t="n">
        <f aca="false">IF(Search!$B$3="",0,IF($A570="",N(K569),IF(ISNUMBER(SEARCH(Search!$B$3,$A570&amp;"")),N(K569)+1,N(K569))))</f>
        <v>0</v>
      </c>
    </row>
    <row r="571" customFormat="false" ht="15" hidden="false" customHeight="false" outlineLevel="0" collapsed="false">
      <c r="K571" s="24" t="n">
        <f aca="false">IF(Search!$B$3="",0,IF($A571="",N(K570),IF(ISNUMBER(SEARCH(Search!$B$3,$A571&amp;"")),N(K570)+1,N(K570))))</f>
        <v>0</v>
      </c>
    </row>
    <row r="572" customFormat="false" ht="15" hidden="false" customHeight="false" outlineLevel="0" collapsed="false">
      <c r="K572" s="24" t="n">
        <f aca="false">IF(Search!$B$3="",0,IF($A572="",N(K571),IF(ISNUMBER(SEARCH(Search!$B$3,$A572&amp;"")),N(K571)+1,N(K571))))</f>
        <v>0</v>
      </c>
    </row>
    <row r="573" customFormat="false" ht="15" hidden="false" customHeight="false" outlineLevel="0" collapsed="false">
      <c r="K573" s="24" t="n">
        <f aca="false">IF(Search!$B$3="",0,IF($A573="",N(K572),IF(ISNUMBER(SEARCH(Search!$B$3,$A573&amp;"")),N(K572)+1,N(K572))))</f>
        <v>0</v>
      </c>
    </row>
    <row r="574" customFormat="false" ht="15" hidden="false" customHeight="false" outlineLevel="0" collapsed="false">
      <c r="K574" s="24" t="n">
        <f aca="false">IF(Search!$B$3="",0,IF($A574="",N(K573),IF(ISNUMBER(SEARCH(Search!$B$3,$A574&amp;"")),N(K573)+1,N(K573))))</f>
        <v>0</v>
      </c>
    </row>
    <row r="575" customFormat="false" ht="15" hidden="false" customHeight="false" outlineLevel="0" collapsed="false">
      <c r="K575" s="24" t="n">
        <f aca="false">IF(Search!$B$3="",0,IF($A575="",N(K574),IF(ISNUMBER(SEARCH(Search!$B$3,$A575&amp;"")),N(K574)+1,N(K574))))</f>
        <v>0</v>
      </c>
    </row>
    <row r="576" customFormat="false" ht="15" hidden="false" customHeight="false" outlineLevel="0" collapsed="false">
      <c r="K576" s="24" t="n">
        <f aca="false">IF(Search!$B$3="",0,IF($A576="",N(K575),IF(ISNUMBER(SEARCH(Search!$B$3,$A576&amp;"")),N(K575)+1,N(K575))))</f>
        <v>0</v>
      </c>
    </row>
    <row r="577" customFormat="false" ht="15" hidden="false" customHeight="false" outlineLevel="0" collapsed="false">
      <c r="K577" s="24" t="n">
        <f aca="false">IF(Search!$B$3="",0,IF($A577="",N(K576),IF(ISNUMBER(SEARCH(Search!$B$3,$A577&amp;"")),N(K576)+1,N(K576))))</f>
        <v>0</v>
      </c>
    </row>
    <row r="578" customFormat="false" ht="15" hidden="false" customHeight="false" outlineLevel="0" collapsed="false">
      <c r="K578" s="24" t="n">
        <f aca="false">IF(Search!$B$3="",0,IF($A578="",N(K577),IF(ISNUMBER(SEARCH(Search!$B$3,$A578&amp;"")),N(K577)+1,N(K577))))</f>
        <v>0</v>
      </c>
    </row>
    <row r="579" customFormat="false" ht="15" hidden="false" customHeight="false" outlineLevel="0" collapsed="false">
      <c r="K579" s="24" t="n">
        <f aca="false">IF(Search!$B$3="",0,IF($A579="",N(K578),IF(ISNUMBER(SEARCH(Search!$B$3,$A579&amp;"")),N(K578)+1,N(K578))))</f>
        <v>0</v>
      </c>
    </row>
    <row r="580" customFormat="false" ht="15" hidden="false" customHeight="false" outlineLevel="0" collapsed="false">
      <c r="K580" s="24" t="n">
        <f aca="false">IF(Search!$B$3="",0,IF($A580="",N(K579),IF(ISNUMBER(SEARCH(Search!$B$3,$A580&amp;"")),N(K579)+1,N(K579))))</f>
        <v>0</v>
      </c>
    </row>
    <row r="581" customFormat="false" ht="15" hidden="false" customHeight="false" outlineLevel="0" collapsed="false">
      <c r="K581" s="24" t="n">
        <f aca="false">IF(Search!$B$3="",0,IF($A581="",N(K580),IF(ISNUMBER(SEARCH(Search!$B$3,$A581&amp;"")),N(K580)+1,N(K580))))</f>
        <v>0</v>
      </c>
    </row>
    <row r="582" customFormat="false" ht="15" hidden="false" customHeight="false" outlineLevel="0" collapsed="false">
      <c r="K582" s="24" t="n">
        <f aca="false">IF(Search!$B$3="",0,IF($A582="",N(K581),IF(ISNUMBER(SEARCH(Search!$B$3,$A582&amp;"")),N(K581)+1,N(K581))))</f>
        <v>0</v>
      </c>
    </row>
    <row r="583" customFormat="false" ht="15" hidden="false" customHeight="false" outlineLevel="0" collapsed="false">
      <c r="K583" s="24" t="n">
        <f aca="false">IF(Search!$B$3="",0,IF($A583="",N(K582),IF(ISNUMBER(SEARCH(Search!$B$3,$A583&amp;"")),N(K582)+1,N(K582))))</f>
        <v>0</v>
      </c>
    </row>
    <row r="584" customFormat="false" ht="15" hidden="false" customHeight="false" outlineLevel="0" collapsed="false">
      <c r="K584" s="24" t="n">
        <f aca="false">IF(Search!$B$3="",0,IF($A584="",N(K583),IF(ISNUMBER(SEARCH(Search!$B$3,$A584&amp;"")),N(K583)+1,N(K583))))</f>
        <v>0</v>
      </c>
    </row>
    <row r="585" customFormat="false" ht="15" hidden="false" customHeight="false" outlineLevel="0" collapsed="false">
      <c r="K585" s="24" t="n">
        <f aca="false">IF(Search!$B$3="",0,IF($A585="",N(K584),IF(ISNUMBER(SEARCH(Search!$B$3,$A585&amp;"")),N(K584)+1,N(K584))))</f>
        <v>0</v>
      </c>
    </row>
    <row r="586" customFormat="false" ht="15" hidden="false" customHeight="false" outlineLevel="0" collapsed="false">
      <c r="K586" s="24" t="n">
        <f aca="false">IF(Search!$B$3="",0,IF($A586="",N(K585),IF(ISNUMBER(SEARCH(Search!$B$3,$A586&amp;"")),N(K585)+1,N(K585))))</f>
        <v>0</v>
      </c>
    </row>
    <row r="587" customFormat="false" ht="15" hidden="false" customHeight="false" outlineLevel="0" collapsed="false">
      <c r="K587" s="24" t="n">
        <f aca="false">IF(Search!$B$3="",0,IF($A587="",N(K586),IF(ISNUMBER(SEARCH(Search!$B$3,$A587&amp;"")),N(K586)+1,N(K586))))</f>
        <v>0</v>
      </c>
    </row>
    <row r="588" customFormat="false" ht="15" hidden="false" customHeight="false" outlineLevel="0" collapsed="false">
      <c r="K588" s="24" t="n">
        <f aca="false">IF(Search!$B$3="",0,IF($A588="",N(K587),IF(ISNUMBER(SEARCH(Search!$B$3,$A588&amp;"")),N(K587)+1,N(K587))))</f>
        <v>0</v>
      </c>
    </row>
    <row r="589" customFormat="false" ht="15" hidden="false" customHeight="false" outlineLevel="0" collapsed="false">
      <c r="K589" s="24" t="n">
        <f aca="false">IF(Search!$B$3="",0,IF($A589="",N(K588),IF(ISNUMBER(SEARCH(Search!$B$3,$A589&amp;"")),N(K588)+1,N(K588))))</f>
        <v>0</v>
      </c>
    </row>
    <row r="590" customFormat="false" ht="15" hidden="false" customHeight="false" outlineLevel="0" collapsed="false">
      <c r="K590" s="24" t="n">
        <f aca="false">IF(Search!$B$3="",0,IF($A590="",N(K589),IF(ISNUMBER(SEARCH(Search!$B$3,$A590&amp;"")),N(K589)+1,N(K589))))</f>
        <v>0</v>
      </c>
    </row>
    <row r="591" customFormat="false" ht="15" hidden="false" customHeight="false" outlineLevel="0" collapsed="false">
      <c r="K591" s="24" t="n">
        <f aca="false">IF(Search!$B$3="",0,IF($A591="",N(K590),IF(ISNUMBER(SEARCH(Search!$B$3,$A591&amp;"")),N(K590)+1,N(K590))))</f>
        <v>0</v>
      </c>
    </row>
    <row r="592" customFormat="false" ht="15" hidden="false" customHeight="false" outlineLevel="0" collapsed="false">
      <c r="K592" s="24" t="n">
        <f aca="false">IF(Search!$B$3="",0,IF($A592="",N(K591),IF(ISNUMBER(SEARCH(Search!$B$3,$A592&amp;"")),N(K591)+1,N(K591))))</f>
        <v>0</v>
      </c>
    </row>
    <row r="593" customFormat="false" ht="15" hidden="false" customHeight="false" outlineLevel="0" collapsed="false">
      <c r="K593" s="24" t="n">
        <f aca="false">IF(Search!$B$3="",0,IF($A593="",N(K592),IF(ISNUMBER(SEARCH(Search!$B$3,$A593&amp;"")),N(K592)+1,N(K592))))</f>
        <v>0</v>
      </c>
    </row>
    <row r="594" customFormat="false" ht="15" hidden="false" customHeight="false" outlineLevel="0" collapsed="false">
      <c r="K594" s="24" t="n">
        <f aca="false">IF(Search!$B$3="",0,IF($A594="",N(K593),IF(ISNUMBER(SEARCH(Search!$B$3,$A594&amp;"")),N(K593)+1,N(K593))))</f>
        <v>0</v>
      </c>
    </row>
    <row r="595" customFormat="false" ht="15" hidden="false" customHeight="false" outlineLevel="0" collapsed="false">
      <c r="K595" s="24" t="n">
        <f aca="false">IF(Search!$B$3="",0,IF($A595="",N(K594),IF(ISNUMBER(SEARCH(Search!$B$3,$A595&amp;"")),N(K594)+1,N(K594))))</f>
        <v>0</v>
      </c>
    </row>
    <row r="596" customFormat="false" ht="15" hidden="false" customHeight="false" outlineLevel="0" collapsed="false">
      <c r="K596" s="24" t="n">
        <f aca="false">IF(Search!$B$3="",0,IF($A596="",N(K595),IF(ISNUMBER(SEARCH(Search!$B$3,$A596&amp;"")),N(K595)+1,N(K595))))</f>
        <v>0</v>
      </c>
    </row>
    <row r="597" customFormat="false" ht="15" hidden="false" customHeight="false" outlineLevel="0" collapsed="false">
      <c r="K597" s="24" t="n">
        <f aca="false">IF(Search!$B$3="",0,IF($A597="",N(K596),IF(ISNUMBER(SEARCH(Search!$B$3,$A597&amp;"")),N(K596)+1,N(K596))))</f>
        <v>0</v>
      </c>
    </row>
    <row r="598" customFormat="false" ht="15" hidden="false" customHeight="false" outlineLevel="0" collapsed="false">
      <c r="K598" s="24" t="n">
        <f aca="false">IF(Search!$B$3="",0,IF($A598="",N(K597),IF(ISNUMBER(SEARCH(Search!$B$3,$A598&amp;"")),N(K597)+1,N(K597))))</f>
        <v>0</v>
      </c>
    </row>
    <row r="599" customFormat="false" ht="15" hidden="false" customHeight="false" outlineLevel="0" collapsed="false">
      <c r="K599" s="24" t="n">
        <f aca="false">IF(Search!$B$3="",0,IF($A599="",N(K598),IF(ISNUMBER(SEARCH(Search!$B$3,$A599&amp;"")),N(K598)+1,N(K598))))</f>
        <v>0</v>
      </c>
    </row>
    <row r="600" customFormat="false" ht="15" hidden="false" customHeight="false" outlineLevel="0" collapsed="false">
      <c r="K600" s="24" t="n">
        <f aca="false">IF(Search!$B$3="",0,IF($A600="",N(K599),IF(ISNUMBER(SEARCH(Search!$B$3,$A600&amp;"")),N(K599)+1,N(K599))))</f>
        <v>0</v>
      </c>
    </row>
    <row r="601" customFormat="false" ht="15" hidden="false" customHeight="false" outlineLevel="0" collapsed="false">
      <c r="K601" s="24" t="n">
        <f aca="false">IF(Search!$B$3="",0,IF($A601="",N(K600),IF(ISNUMBER(SEARCH(Search!$B$3,$A601&amp;"")),N(K600)+1,N(K600))))</f>
        <v>0</v>
      </c>
    </row>
    <row r="602" customFormat="false" ht="15" hidden="false" customHeight="false" outlineLevel="0" collapsed="false">
      <c r="K602" s="24" t="n">
        <f aca="false">IF(Search!$B$3="",0,IF($A602="",N(K601),IF(ISNUMBER(SEARCH(Search!$B$3,$A602&amp;"")),N(K601)+1,N(K601))))</f>
        <v>0</v>
      </c>
    </row>
    <row r="603" customFormat="false" ht="15" hidden="false" customHeight="false" outlineLevel="0" collapsed="false">
      <c r="K603" s="24" t="n">
        <f aca="false">IF(Search!$B$3="",0,IF($A603="",N(K602),IF(ISNUMBER(SEARCH(Search!$B$3,$A603&amp;"")),N(K602)+1,N(K602))))</f>
        <v>0</v>
      </c>
    </row>
    <row r="604" customFormat="false" ht="15" hidden="false" customHeight="false" outlineLevel="0" collapsed="false">
      <c r="K604" s="24" t="n">
        <f aca="false">IF(Search!$B$3="",0,IF($A604="",N(K603),IF(ISNUMBER(SEARCH(Search!$B$3,$A604&amp;"")),N(K603)+1,N(K603))))</f>
        <v>0</v>
      </c>
    </row>
    <row r="605" customFormat="false" ht="15" hidden="false" customHeight="false" outlineLevel="0" collapsed="false">
      <c r="K605" s="24" t="n">
        <f aca="false">IF(Search!$B$3="",0,IF($A605="",N(K604),IF(ISNUMBER(SEARCH(Search!$B$3,$A605&amp;"")),N(K604)+1,N(K604))))</f>
        <v>0</v>
      </c>
    </row>
    <row r="606" customFormat="false" ht="15" hidden="false" customHeight="false" outlineLevel="0" collapsed="false">
      <c r="K606" s="24" t="n">
        <f aca="false">IF(Search!$B$3="",0,IF($A606="",N(K605),IF(ISNUMBER(SEARCH(Search!$B$3,$A606&amp;"")),N(K605)+1,N(K605))))</f>
        <v>0</v>
      </c>
    </row>
    <row r="607" customFormat="false" ht="15" hidden="false" customHeight="false" outlineLevel="0" collapsed="false">
      <c r="K607" s="24" t="n">
        <f aca="false">IF(Search!$B$3="",0,IF($A607="",N(K606),IF(ISNUMBER(SEARCH(Search!$B$3,$A607&amp;"")),N(K606)+1,N(K606))))</f>
        <v>0</v>
      </c>
    </row>
    <row r="608" customFormat="false" ht="15" hidden="false" customHeight="false" outlineLevel="0" collapsed="false">
      <c r="K608" s="24" t="n">
        <f aca="false">IF(Search!$B$3="",0,IF($A608="",N(K607),IF(ISNUMBER(SEARCH(Search!$B$3,$A608&amp;"")),N(K607)+1,N(K607))))</f>
        <v>0</v>
      </c>
    </row>
    <row r="609" customFormat="false" ht="15" hidden="false" customHeight="false" outlineLevel="0" collapsed="false">
      <c r="K609" s="24" t="n">
        <f aca="false">IF(Search!$B$3="",0,IF($A609="",N(K608),IF(ISNUMBER(SEARCH(Search!$B$3,$A609&amp;"")),N(K608)+1,N(K608))))</f>
        <v>0</v>
      </c>
    </row>
    <row r="610" customFormat="false" ht="15" hidden="false" customHeight="false" outlineLevel="0" collapsed="false">
      <c r="K610" s="24" t="n">
        <f aca="false">IF(Search!$B$3="",0,IF($A610="",N(K609),IF(ISNUMBER(SEARCH(Search!$B$3,$A610&amp;"")),N(K609)+1,N(K609))))</f>
        <v>0</v>
      </c>
    </row>
    <row r="611" customFormat="false" ht="15" hidden="false" customHeight="false" outlineLevel="0" collapsed="false">
      <c r="K611" s="24" t="n">
        <f aca="false">IF(Search!$B$3="",0,IF($A611="",N(K610),IF(ISNUMBER(SEARCH(Search!$B$3,$A611&amp;"")),N(K610)+1,N(K610))))</f>
        <v>0</v>
      </c>
    </row>
    <row r="612" customFormat="false" ht="15" hidden="false" customHeight="false" outlineLevel="0" collapsed="false">
      <c r="K612" s="24" t="n">
        <f aca="false">IF(Search!$B$3="",0,IF($A612="",N(K611),IF(ISNUMBER(SEARCH(Search!$B$3,$A612&amp;"")),N(K611)+1,N(K611))))</f>
        <v>0</v>
      </c>
    </row>
    <row r="613" customFormat="false" ht="15" hidden="false" customHeight="false" outlineLevel="0" collapsed="false">
      <c r="K613" s="24" t="n">
        <f aca="false">IF(Search!$B$3="",0,IF($A613="",N(K612),IF(ISNUMBER(SEARCH(Search!$B$3,$A613&amp;"")),N(K612)+1,N(K612))))</f>
        <v>0</v>
      </c>
    </row>
    <row r="614" customFormat="false" ht="15" hidden="false" customHeight="false" outlineLevel="0" collapsed="false">
      <c r="K614" s="24" t="n">
        <f aca="false">IF(Search!$B$3="",0,IF($A614="",N(K613),IF(ISNUMBER(SEARCH(Search!$B$3,$A614&amp;"")),N(K613)+1,N(K613))))</f>
        <v>0</v>
      </c>
    </row>
    <row r="615" customFormat="false" ht="15" hidden="false" customHeight="false" outlineLevel="0" collapsed="false">
      <c r="K615" s="24" t="n">
        <f aca="false">IF(Search!$B$3="",0,IF($A615="",N(K614),IF(ISNUMBER(SEARCH(Search!$B$3,$A615&amp;"")),N(K614)+1,N(K614))))</f>
        <v>0</v>
      </c>
    </row>
    <row r="616" customFormat="false" ht="15" hidden="false" customHeight="false" outlineLevel="0" collapsed="false">
      <c r="K616" s="24" t="n">
        <f aca="false">IF(Search!$B$3="",0,IF($A616="",N(K615),IF(ISNUMBER(SEARCH(Search!$B$3,$A616&amp;"")),N(K615)+1,N(K615))))</f>
        <v>0</v>
      </c>
    </row>
    <row r="617" customFormat="false" ht="15" hidden="false" customHeight="false" outlineLevel="0" collapsed="false">
      <c r="K617" s="24" t="n">
        <f aca="false">IF(Search!$B$3="",0,IF($A617="",N(K616),IF(ISNUMBER(SEARCH(Search!$B$3,$A617&amp;"")),N(K616)+1,N(K616))))</f>
        <v>0</v>
      </c>
    </row>
    <row r="618" customFormat="false" ht="15" hidden="false" customHeight="false" outlineLevel="0" collapsed="false">
      <c r="K618" s="24" t="n">
        <f aca="false">IF(Search!$B$3="",0,IF($A618="",N(K617),IF(ISNUMBER(SEARCH(Search!$B$3,$A618&amp;"")),N(K617)+1,N(K617))))</f>
        <v>0</v>
      </c>
    </row>
    <row r="619" customFormat="false" ht="15" hidden="false" customHeight="false" outlineLevel="0" collapsed="false">
      <c r="K619" s="24" t="n">
        <f aca="false">IF(Search!$B$3="",0,IF($A619="",N(K618),IF(ISNUMBER(SEARCH(Search!$B$3,$A619&amp;"")),N(K618)+1,N(K618))))</f>
        <v>0</v>
      </c>
    </row>
    <row r="620" customFormat="false" ht="15" hidden="false" customHeight="false" outlineLevel="0" collapsed="false">
      <c r="K620" s="24" t="n">
        <f aca="false">IF(Search!$B$3="",0,IF($A620="",N(K619),IF(ISNUMBER(SEARCH(Search!$B$3,$A620&amp;"")),N(K619)+1,N(K619))))</f>
        <v>0</v>
      </c>
    </row>
    <row r="621" customFormat="false" ht="15" hidden="false" customHeight="false" outlineLevel="0" collapsed="false">
      <c r="K621" s="24" t="n">
        <f aca="false">IF(Search!$B$3="",0,IF($A621="",N(K620),IF(ISNUMBER(SEARCH(Search!$B$3,$A621&amp;"")),N(K620)+1,N(K620))))</f>
        <v>0</v>
      </c>
    </row>
    <row r="622" customFormat="false" ht="15" hidden="false" customHeight="false" outlineLevel="0" collapsed="false">
      <c r="K622" s="24" t="n">
        <f aca="false">IF(Search!$B$3="",0,IF($A622="",N(K621),IF(ISNUMBER(SEARCH(Search!$B$3,$A622&amp;"")),N(K621)+1,N(K621))))</f>
        <v>0</v>
      </c>
    </row>
    <row r="623" customFormat="false" ht="15" hidden="false" customHeight="false" outlineLevel="0" collapsed="false">
      <c r="K623" s="24" t="n">
        <f aca="false">IF(Search!$B$3="",0,IF($A623="",N(K622),IF(ISNUMBER(SEARCH(Search!$B$3,$A623&amp;"")),N(K622)+1,N(K622))))</f>
        <v>0</v>
      </c>
    </row>
    <row r="624" customFormat="false" ht="15" hidden="false" customHeight="false" outlineLevel="0" collapsed="false">
      <c r="K624" s="24" t="n">
        <f aca="false">IF(Search!$B$3="",0,IF($A624="",N(K623),IF(ISNUMBER(SEARCH(Search!$B$3,$A624&amp;"")),N(K623)+1,N(K623))))</f>
        <v>0</v>
      </c>
    </row>
    <row r="625" customFormat="false" ht="15" hidden="false" customHeight="false" outlineLevel="0" collapsed="false">
      <c r="K625" s="24" t="n">
        <f aca="false">IF(Search!$B$3="",0,IF($A625="",N(K624),IF(ISNUMBER(SEARCH(Search!$B$3,$A625&amp;"")),N(K624)+1,N(K624))))</f>
        <v>0</v>
      </c>
    </row>
    <row r="626" customFormat="false" ht="15" hidden="false" customHeight="false" outlineLevel="0" collapsed="false">
      <c r="K626" s="24" t="n">
        <f aca="false">IF(Search!$B$3="",0,IF($A626="",N(K625),IF(ISNUMBER(SEARCH(Search!$B$3,$A626&amp;"")),N(K625)+1,N(K625))))</f>
        <v>0</v>
      </c>
    </row>
    <row r="627" customFormat="false" ht="15" hidden="false" customHeight="false" outlineLevel="0" collapsed="false">
      <c r="K627" s="24" t="n">
        <f aca="false">IF(Search!$B$3="",0,IF($A627="",N(K626),IF(ISNUMBER(SEARCH(Search!$B$3,$A627&amp;"")),N(K626)+1,N(K626))))</f>
        <v>0</v>
      </c>
    </row>
    <row r="628" customFormat="false" ht="15" hidden="false" customHeight="false" outlineLevel="0" collapsed="false">
      <c r="K628" s="24" t="n">
        <f aca="false">IF(Search!$B$3="",0,IF($A628="",N(K627),IF(ISNUMBER(SEARCH(Search!$B$3,$A628&amp;"")),N(K627)+1,N(K627))))</f>
        <v>0</v>
      </c>
    </row>
    <row r="629" customFormat="false" ht="15" hidden="false" customHeight="false" outlineLevel="0" collapsed="false">
      <c r="K629" s="24" t="n">
        <f aca="false">IF(Search!$B$3="",0,IF($A629="",N(K628),IF(ISNUMBER(SEARCH(Search!$B$3,$A629&amp;"")),N(K628)+1,N(K628))))</f>
        <v>0</v>
      </c>
    </row>
    <row r="630" customFormat="false" ht="15" hidden="false" customHeight="false" outlineLevel="0" collapsed="false">
      <c r="K630" s="24" t="n">
        <f aca="false">IF(Search!$B$3="",0,IF($A630="",N(K629),IF(ISNUMBER(SEARCH(Search!$B$3,$A630&amp;"")),N(K629)+1,N(K629))))</f>
        <v>0</v>
      </c>
    </row>
    <row r="631" customFormat="false" ht="15" hidden="false" customHeight="false" outlineLevel="0" collapsed="false">
      <c r="K631" s="24" t="n">
        <f aca="false">IF(Search!$B$3="",0,IF($A631="",N(K630),IF(ISNUMBER(SEARCH(Search!$B$3,$A631&amp;"")),N(K630)+1,N(K630))))</f>
        <v>0</v>
      </c>
    </row>
    <row r="632" customFormat="false" ht="15" hidden="false" customHeight="false" outlineLevel="0" collapsed="false">
      <c r="K632" s="24" t="n">
        <f aca="false">IF(Search!$B$3="",0,IF($A632="",N(K631),IF(ISNUMBER(SEARCH(Search!$B$3,$A632&amp;"")),N(K631)+1,N(K631))))</f>
        <v>0</v>
      </c>
    </row>
    <row r="633" customFormat="false" ht="15" hidden="false" customHeight="false" outlineLevel="0" collapsed="false">
      <c r="K633" s="24" t="n">
        <f aca="false">IF(Search!$B$3="",0,IF($A633="",N(K632),IF(ISNUMBER(SEARCH(Search!$B$3,$A633&amp;"")),N(K632)+1,N(K632))))</f>
        <v>0</v>
      </c>
    </row>
    <row r="634" customFormat="false" ht="15" hidden="false" customHeight="false" outlineLevel="0" collapsed="false">
      <c r="K634" s="24" t="n">
        <f aca="false">IF(Search!$B$3="",0,IF($A634="",N(K633),IF(ISNUMBER(SEARCH(Search!$B$3,$A634&amp;"")),N(K633)+1,N(K633))))</f>
        <v>0</v>
      </c>
    </row>
    <row r="635" customFormat="false" ht="15" hidden="false" customHeight="false" outlineLevel="0" collapsed="false">
      <c r="K635" s="24" t="n">
        <f aca="false">IF(Search!$B$3="",0,IF($A635="",N(K634),IF(ISNUMBER(SEARCH(Search!$B$3,$A635&amp;"")),N(K634)+1,N(K634))))</f>
        <v>0</v>
      </c>
    </row>
    <row r="636" customFormat="false" ht="15" hidden="false" customHeight="false" outlineLevel="0" collapsed="false">
      <c r="K636" s="24" t="n">
        <f aca="false">IF(Search!$B$3="",0,IF($A636="",N(K635),IF(ISNUMBER(SEARCH(Search!$B$3,$A636&amp;"")),N(K635)+1,N(K635))))</f>
        <v>0</v>
      </c>
    </row>
    <row r="637" customFormat="false" ht="15" hidden="false" customHeight="false" outlineLevel="0" collapsed="false">
      <c r="K637" s="24" t="n">
        <f aca="false">IF(Search!$B$3="",0,IF($A637="",N(K636),IF(ISNUMBER(SEARCH(Search!$B$3,$A637&amp;"")),N(K636)+1,N(K636))))</f>
        <v>0</v>
      </c>
    </row>
    <row r="638" customFormat="false" ht="15" hidden="false" customHeight="false" outlineLevel="0" collapsed="false">
      <c r="K638" s="24" t="n">
        <f aca="false">IF(Search!$B$3="",0,IF($A638="",N(K637),IF(ISNUMBER(SEARCH(Search!$B$3,$A638&amp;"")),N(K637)+1,N(K637))))</f>
        <v>0</v>
      </c>
    </row>
    <row r="639" customFormat="false" ht="15" hidden="false" customHeight="false" outlineLevel="0" collapsed="false">
      <c r="K639" s="24" t="n">
        <f aca="false">IF(Search!$B$3="",0,IF($A639="",N(K638),IF(ISNUMBER(SEARCH(Search!$B$3,$A639&amp;"")),N(K638)+1,N(K638))))</f>
        <v>0</v>
      </c>
    </row>
    <row r="640" customFormat="false" ht="15" hidden="false" customHeight="false" outlineLevel="0" collapsed="false">
      <c r="K640" s="24" t="n">
        <f aca="false">IF(Search!$B$3="",0,IF($A640="",N(K639),IF(ISNUMBER(SEARCH(Search!$B$3,$A640&amp;"")),N(K639)+1,N(K639))))</f>
        <v>0</v>
      </c>
    </row>
    <row r="641" customFormat="false" ht="15" hidden="false" customHeight="false" outlineLevel="0" collapsed="false">
      <c r="K641" s="24" t="n">
        <f aca="false">IF(Search!$B$3="",0,IF($A641="",N(K640),IF(ISNUMBER(SEARCH(Search!$B$3,$A641&amp;"")),N(K640)+1,N(K640))))</f>
        <v>0</v>
      </c>
    </row>
    <row r="642" customFormat="false" ht="15" hidden="false" customHeight="false" outlineLevel="0" collapsed="false">
      <c r="K642" s="24" t="n">
        <f aca="false">IF(Search!$B$3="",0,IF($A642="",N(K641),IF(ISNUMBER(SEARCH(Search!$B$3,$A642&amp;"")),N(K641)+1,N(K641))))</f>
        <v>0</v>
      </c>
    </row>
    <row r="643" customFormat="false" ht="15" hidden="false" customHeight="false" outlineLevel="0" collapsed="false">
      <c r="K643" s="24" t="n">
        <f aca="false">IF(Search!$B$3="",0,IF($A643="",N(K642),IF(ISNUMBER(SEARCH(Search!$B$3,$A643&amp;"")),N(K642)+1,N(K642))))</f>
        <v>0</v>
      </c>
    </row>
    <row r="644" customFormat="false" ht="15" hidden="false" customHeight="false" outlineLevel="0" collapsed="false">
      <c r="K644" s="24" t="n">
        <f aca="false">IF(Search!$B$3="",0,IF($A644="",N(K643),IF(ISNUMBER(SEARCH(Search!$B$3,$A644&amp;"")),N(K643)+1,N(K643))))</f>
        <v>0</v>
      </c>
    </row>
    <row r="645" customFormat="false" ht="15" hidden="false" customHeight="false" outlineLevel="0" collapsed="false">
      <c r="K645" s="24" t="n">
        <f aca="false">IF(Search!$B$3="",0,IF($A645="",N(K644),IF(ISNUMBER(SEARCH(Search!$B$3,$A645&amp;"")),N(K644)+1,N(K644))))</f>
        <v>0</v>
      </c>
    </row>
    <row r="646" customFormat="false" ht="15" hidden="false" customHeight="false" outlineLevel="0" collapsed="false">
      <c r="K646" s="24" t="n">
        <f aca="false">IF(Search!$B$3="",0,IF($A646="",N(K645),IF(ISNUMBER(SEARCH(Search!$B$3,$A646&amp;"")),N(K645)+1,N(K645))))</f>
        <v>0</v>
      </c>
    </row>
    <row r="647" customFormat="false" ht="15" hidden="false" customHeight="false" outlineLevel="0" collapsed="false">
      <c r="K647" s="24" t="n">
        <f aca="false">IF(Search!$B$3="",0,IF($A647="",N(K646),IF(ISNUMBER(SEARCH(Search!$B$3,$A647&amp;"")),N(K646)+1,N(K646))))</f>
        <v>0</v>
      </c>
    </row>
    <row r="648" customFormat="false" ht="15" hidden="false" customHeight="false" outlineLevel="0" collapsed="false">
      <c r="K648" s="24" t="n">
        <f aca="false">IF(Search!$B$3="",0,IF($A648="",N(K647),IF(ISNUMBER(SEARCH(Search!$B$3,$A648&amp;"")),N(K647)+1,N(K647))))</f>
        <v>0</v>
      </c>
    </row>
    <row r="649" customFormat="false" ht="15" hidden="false" customHeight="false" outlineLevel="0" collapsed="false">
      <c r="K649" s="24" t="n">
        <f aca="false">IF(Search!$B$3="",0,IF($A649="",N(K648),IF(ISNUMBER(SEARCH(Search!$B$3,$A649&amp;"")),N(K648)+1,N(K648))))</f>
        <v>0</v>
      </c>
    </row>
    <row r="650" customFormat="false" ht="15" hidden="false" customHeight="false" outlineLevel="0" collapsed="false">
      <c r="K650" s="24" t="n">
        <f aca="false">IF(Search!$B$3="",0,IF($A650="",N(K649),IF(ISNUMBER(SEARCH(Search!$B$3,$A650&amp;"")),N(K649)+1,N(K649))))</f>
        <v>0</v>
      </c>
    </row>
    <row r="651" customFormat="false" ht="15" hidden="false" customHeight="false" outlineLevel="0" collapsed="false">
      <c r="K651" s="24" t="n">
        <f aca="false">IF(Search!$B$3="",0,IF($A651="",N(K650),IF(ISNUMBER(SEARCH(Search!$B$3,$A651&amp;"")),N(K650)+1,N(K650))))</f>
        <v>0</v>
      </c>
    </row>
    <row r="652" customFormat="false" ht="15" hidden="false" customHeight="false" outlineLevel="0" collapsed="false">
      <c r="K652" s="24" t="n">
        <f aca="false">IF(Search!$B$3="",0,IF($A652="",N(K651),IF(ISNUMBER(SEARCH(Search!$B$3,$A652&amp;"")),N(K651)+1,N(K651))))</f>
        <v>0</v>
      </c>
    </row>
    <row r="653" customFormat="false" ht="15" hidden="false" customHeight="false" outlineLevel="0" collapsed="false">
      <c r="K653" s="24" t="n">
        <f aca="false">IF(Search!$B$3="",0,IF($A653="",N(K652),IF(ISNUMBER(SEARCH(Search!$B$3,$A653&amp;"")),N(K652)+1,N(K652))))</f>
        <v>0</v>
      </c>
    </row>
    <row r="654" customFormat="false" ht="15" hidden="false" customHeight="false" outlineLevel="0" collapsed="false">
      <c r="K654" s="24" t="n">
        <f aca="false">IF(Search!$B$3="",0,IF($A654="",N(K653),IF(ISNUMBER(SEARCH(Search!$B$3,$A654&amp;"")),N(K653)+1,N(K653))))</f>
        <v>0</v>
      </c>
    </row>
    <row r="655" customFormat="false" ht="15" hidden="false" customHeight="false" outlineLevel="0" collapsed="false">
      <c r="K655" s="24" t="n">
        <f aca="false">IF(Search!$B$3="",0,IF($A655="",N(K654),IF(ISNUMBER(SEARCH(Search!$B$3,$A655&amp;"")),N(K654)+1,N(K654))))</f>
        <v>0</v>
      </c>
    </row>
    <row r="656" customFormat="false" ht="15" hidden="false" customHeight="false" outlineLevel="0" collapsed="false">
      <c r="K656" s="24" t="n">
        <f aca="false">IF(Search!$B$3="",0,IF($A656="",N(K655),IF(ISNUMBER(SEARCH(Search!$B$3,$A656&amp;"")),N(K655)+1,N(K655))))</f>
        <v>0</v>
      </c>
    </row>
    <row r="657" customFormat="false" ht="15" hidden="false" customHeight="false" outlineLevel="0" collapsed="false">
      <c r="K657" s="24" t="n">
        <f aca="false">IF(Search!$B$3="",0,IF($A657="",N(K656),IF(ISNUMBER(SEARCH(Search!$B$3,$A657&amp;"")),N(K656)+1,N(K656))))</f>
        <v>0</v>
      </c>
    </row>
    <row r="658" customFormat="false" ht="15" hidden="false" customHeight="false" outlineLevel="0" collapsed="false">
      <c r="K658" s="24" t="n">
        <f aca="false">IF(Search!$B$3="",0,IF($A658="",N(K657),IF(ISNUMBER(SEARCH(Search!$B$3,$A658&amp;"")),N(K657)+1,N(K657))))</f>
        <v>0</v>
      </c>
    </row>
    <row r="659" customFormat="false" ht="15" hidden="false" customHeight="false" outlineLevel="0" collapsed="false">
      <c r="K659" s="24" t="n">
        <f aca="false">IF(Search!$B$3="",0,IF($A659="",N(K658),IF(ISNUMBER(SEARCH(Search!$B$3,$A659&amp;"")),N(K658)+1,N(K658))))</f>
        <v>0</v>
      </c>
    </row>
    <row r="660" customFormat="false" ht="15" hidden="false" customHeight="false" outlineLevel="0" collapsed="false">
      <c r="K660" s="24" t="n">
        <f aca="false">IF(Search!$B$3="",0,IF($A660="",N(K659),IF(ISNUMBER(SEARCH(Search!$B$3,$A660&amp;"")),N(K659)+1,N(K659))))</f>
        <v>0</v>
      </c>
    </row>
    <row r="661" customFormat="false" ht="15" hidden="false" customHeight="false" outlineLevel="0" collapsed="false">
      <c r="K661" s="24" t="n">
        <f aca="false">IF(Search!$B$3="",0,IF($A661="",N(K660),IF(ISNUMBER(SEARCH(Search!$B$3,$A661&amp;"")),N(K660)+1,N(K660))))</f>
        <v>0</v>
      </c>
    </row>
    <row r="662" customFormat="false" ht="15" hidden="false" customHeight="false" outlineLevel="0" collapsed="false">
      <c r="K662" s="24" t="n">
        <f aca="false">IF(Search!$B$3="",0,IF($A662="",N(K661),IF(ISNUMBER(SEARCH(Search!$B$3,$A662&amp;"")),N(K661)+1,N(K661))))</f>
        <v>0</v>
      </c>
    </row>
    <row r="663" customFormat="false" ht="15" hidden="false" customHeight="false" outlineLevel="0" collapsed="false">
      <c r="K663" s="24" t="n">
        <f aca="false">IF(Search!$B$3="",0,IF($A663="",N(K662),IF(ISNUMBER(SEARCH(Search!$B$3,$A663&amp;"")),N(K662)+1,N(K662))))</f>
        <v>0</v>
      </c>
    </row>
    <row r="664" customFormat="false" ht="15" hidden="false" customHeight="false" outlineLevel="0" collapsed="false">
      <c r="K664" s="24" t="n">
        <f aca="false">IF(Search!$B$3="",0,IF($A664="",N(K663),IF(ISNUMBER(SEARCH(Search!$B$3,$A664&amp;"")),N(K663)+1,N(K663))))</f>
        <v>0</v>
      </c>
    </row>
    <row r="665" customFormat="false" ht="15" hidden="false" customHeight="false" outlineLevel="0" collapsed="false">
      <c r="K665" s="24" t="n">
        <f aca="false">IF(Search!$B$3="",0,IF($A665="",N(K664),IF(ISNUMBER(SEARCH(Search!$B$3,$A665&amp;"")),N(K664)+1,N(K664))))</f>
        <v>0</v>
      </c>
    </row>
    <row r="666" customFormat="false" ht="15" hidden="false" customHeight="false" outlineLevel="0" collapsed="false">
      <c r="K666" s="24" t="n">
        <f aca="false">IF(Search!$B$3="",0,IF($A666="",N(K665),IF(ISNUMBER(SEARCH(Search!$B$3,$A666&amp;"")),N(K665)+1,N(K665))))</f>
        <v>0</v>
      </c>
    </row>
    <row r="667" customFormat="false" ht="15" hidden="false" customHeight="false" outlineLevel="0" collapsed="false">
      <c r="K667" s="24" t="n">
        <f aca="false">IF(Search!$B$3="",0,IF($A667="",N(K666),IF(ISNUMBER(SEARCH(Search!$B$3,$A667&amp;"")),N(K666)+1,N(K666))))</f>
        <v>0</v>
      </c>
    </row>
    <row r="668" customFormat="false" ht="15" hidden="false" customHeight="false" outlineLevel="0" collapsed="false">
      <c r="K668" s="24" t="n">
        <f aca="false">IF(Search!$B$3="",0,IF($A668="",N(K667),IF(ISNUMBER(SEARCH(Search!$B$3,$A668&amp;"")),N(K667)+1,N(K667))))</f>
        <v>0</v>
      </c>
    </row>
    <row r="669" customFormat="false" ht="15" hidden="false" customHeight="false" outlineLevel="0" collapsed="false">
      <c r="K669" s="24" t="n">
        <f aca="false">IF(Search!$B$3="",0,IF($A669="",N(K668),IF(ISNUMBER(SEARCH(Search!$B$3,$A669&amp;"")),N(K668)+1,N(K668))))</f>
        <v>0</v>
      </c>
    </row>
    <row r="670" customFormat="false" ht="15" hidden="false" customHeight="false" outlineLevel="0" collapsed="false">
      <c r="K670" s="24" t="n">
        <f aca="false">IF(Search!$B$3="",0,IF($A670="",N(K669),IF(ISNUMBER(SEARCH(Search!$B$3,$A670&amp;"")),N(K669)+1,N(K669))))</f>
        <v>0</v>
      </c>
    </row>
    <row r="671" customFormat="false" ht="15" hidden="false" customHeight="false" outlineLevel="0" collapsed="false">
      <c r="K671" s="24" t="n">
        <f aca="false">IF(Search!$B$3="",0,IF($A671="",N(K670),IF(ISNUMBER(SEARCH(Search!$B$3,$A671&amp;"")),N(K670)+1,N(K670))))</f>
        <v>0</v>
      </c>
    </row>
    <row r="672" customFormat="false" ht="15" hidden="false" customHeight="false" outlineLevel="0" collapsed="false">
      <c r="K672" s="24" t="n">
        <f aca="false">IF(Search!$B$3="",0,IF($A672="",N(K671),IF(ISNUMBER(SEARCH(Search!$B$3,$A672&amp;"")),N(K671)+1,N(K671))))</f>
        <v>0</v>
      </c>
    </row>
    <row r="673" customFormat="false" ht="15" hidden="false" customHeight="false" outlineLevel="0" collapsed="false">
      <c r="K673" s="24" t="n">
        <f aca="false">IF(Search!$B$3="",0,IF($A673="",N(K672),IF(ISNUMBER(SEARCH(Search!$B$3,$A673&amp;"")),N(K672)+1,N(K672))))</f>
        <v>0</v>
      </c>
    </row>
    <row r="674" customFormat="false" ht="15" hidden="false" customHeight="false" outlineLevel="0" collapsed="false">
      <c r="K674" s="24" t="n">
        <f aca="false">IF(Search!$B$3="",0,IF($A674="",N(K673),IF(ISNUMBER(SEARCH(Search!$B$3,$A674&amp;"")),N(K673)+1,N(K673))))</f>
        <v>0</v>
      </c>
    </row>
    <row r="675" customFormat="false" ht="15" hidden="false" customHeight="false" outlineLevel="0" collapsed="false">
      <c r="K675" s="24" t="n">
        <f aca="false">IF(Search!$B$3="",0,IF($A675="",N(K674),IF(ISNUMBER(SEARCH(Search!$B$3,$A675&amp;"")),N(K674)+1,N(K674))))</f>
        <v>0</v>
      </c>
    </row>
    <row r="676" customFormat="false" ht="15" hidden="false" customHeight="false" outlineLevel="0" collapsed="false">
      <c r="K676" s="24" t="n">
        <f aca="false">IF(Search!$B$3="",0,IF($A676="",N(K675),IF(ISNUMBER(SEARCH(Search!$B$3,$A676&amp;"")),N(K675)+1,N(K675))))</f>
        <v>0</v>
      </c>
    </row>
    <row r="677" customFormat="false" ht="15" hidden="false" customHeight="false" outlineLevel="0" collapsed="false">
      <c r="K677" s="24" t="n">
        <f aca="false">IF(Search!$B$3="",0,IF($A677="",N(K676),IF(ISNUMBER(SEARCH(Search!$B$3,$A677&amp;"")),N(K676)+1,N(K676))))</f>
        <v>0</v>
      </c>
    </row>
    <row r="678" customFormat="false" ht="15" hidden="false" customHeight="false" outlineLevel="0" collapsed="false">
      <c r="K678" s="24" t="n">
        <f aca="false">IF(Search!$B$3="",0,IF($A678="",N(K677),IF(ISNUMBER(SEARCH(Search!$B$3,$A678&amp;"")),N(K677)+1,N(K677))))</f>
        <v>0</v>
      </c>
    </row>
    <row r="679" customFormat="false" ht="15" hidden="false" customHeight="false" outlineLevel="0" collapsed="false">
      <c r="K679" s="24" t="n">
        <f aca="false">IF(Search!$B$3="",0,IF($A679="",N(K678),IF(ISNUMBER(SEARCH(Search!$B$3,$A679&amp;"")),N(K678)+1,N(K678))))</f>
        <v>0</v>
      </c>
    </row>
    <row r="680" customFormat="false" ht="15" hidden="false" customHeight="false" outlineLevel="0" collapsed="false">
      <c r="K680" s="24" t="n">
        <f aca="false">IF(Search!$B$3="",0,IF($A680="",N(K679),IF(ISNUMBER(SEARCH(Search!$B$3,$A680&amp;"")),N(K679)+1,N(K679))))</f>
        <v>0</v>
      </c>
    </row>
    <row r="681" customFormat="false" ht="15" hidden="false" customHeight="false" outlineLevel="0" collapsed="false">
      <c r="K681" s="24" t="n">
        <f aca="false">IF(Search!$B$3="",0,IF($A681="",N(K680),IF(ISNUMBER(SEARCH(Search!$B$3,$A681&amp;"")),N(K680)+1,N(K680))))</f>
        <v>0</v>
      </c>
    </row>
    <row r="682" customFormat="false" ht="15" hidden="false" customHeight="false" outlineLevel="0" collapsed="false">
      <c r="K682" s="24" t="n">
        <f aca="false">IF(Search!$B$3="",0,IF($A682="",N(K681),IF(ISNUMBER(SEARCH(Search!$B$3,$A682&amp;"")),N(K681)+1,N(K681))))</f>
        <v>0</v>
      </c>
    </row>
    <row r="683" customFormat="false" ht="15" hidden="false" customHeight="false" outlineLevel="0" collapsed="false">
      <c r="K683" s="24" t="n">
        <f aca="false">IF(Search!$B$3="",0,IF($A683="",N(K682),IF(ISNUMBER(SEARCH(Search!$B$3,$A683&amp;"")),N(K682)+1,N(K682))))</f>
        <v>0</v>
      </c>
    </row>
    <row r="684" customFormat="false" ht="15" hidden="false" customHeight="false" outlineLevel="0" collapsed="false">
      <c r="K684" s="24" t="n">
        <f aca="false">IF(Search!$B$3="",0,IF($A684="",N(K683),IF(ISNUMBER(SEARCH(Search!$B$3,$A684&amp;"")),N(K683)+1,N(K683))))</f>
        <v>0</v>
      </c>
    </row>
    <row r="685" customFormat="false" ht="15" hidden="false" customHeight="false" outlineLevel="0" collapsed="false">
      <c r="K685" s="24" t="n">
        <f aca="false">IF(Search!$B$3="",0,IF($A685="",N(K684),IF(ISNUMBER(SEARCH(Search!$B$3,$A685&amp;"")),N(K684)+1,N(K684))))</f>
        <v>0</v>
      </c>
    </row>
    <row r="686" customFormat="false" ht="15" hidden="false" customHeight="false" outlineLevel="0" collapsed="false">
      <c r="K686" s="24" t="n">
        <f aca="false">IF(Search!$B$3="",0,IF($A686="",N(K685),IF(ISNUMBER(SEARCH(Search!$B$3,$A686&amp;"")),N(K685)+1,N(K685))))</f>
        <v>0</v>
      </c>
    </row>
    <row r="687" customFormat="false" ht="15" hidden="false" customHeight="false" outlineLevel="0" collapsed="false">
      <c r="K687" s="24" t="n">
        <f aca="false">IF(Search!$B$3="",0,IF($A687="",N(K686),IF(ISNUMBER(SEARCH(Search!$B$3,$A687&amp;"")),N(K686)+1,N(K686))))</f>
        <v>0</v>
      </c>
    </row>
    <row r="688" customFormat="false" ht="15" hidden="false" customHeight="false" outlineLevel="0" collapsed="false">
      <c r="K688" s="24" t="n">
        <f aca="false">IF(Search!$B$3="",0,IF($A688="",N(K687),IF(ISNUMBER(SEARCH(Search!$B$3,$A688&amp;"")),N(K687)+1,N(K687))))</f>
        <v>0</v>
      </c>
    </row>
    <row r="689" customFormat="false" ht="15" hidden="false" customHeight="false" outlineLevel="0" collapsed="false">
      <c r="K689" s="24" t="n">
        <f aca="false">IF(Search!$B$3="",0,IF($A689="",N(K688),IF(ISNUMBER(SEARCH(Search!$B$3,$A689&amp;"")),N(K688)+1,N(K688))))</f>
        <v>0</v>
      </c>
    </row>
    <row r="690" customFormat="false" ht="15" hidden="false" customHeight="false" outlineLevel="0" collapsed="false">
      <c r="K690" s="24" t="n">
        <f aca="false">IF(Search!$B$3="",0,IF($A690="",N(K689),IF(ISNUMBER(SEARCH(Search!$B$3,$A690&amp;"")),N(K689)+1,N(K689))))</f>
        <v>0</v>
      </c>
    </row>
    <row r="691" customFormat="false" ht="15" hidden="false" customHeight="false" outlineLevel="0" collapsed="false">
      <c r="K691" s="24" t="n">
        <f aca="false">IF(Search!$B$3="",0,IF($A691="",N(K690),IF(ISNUMBER(SEARCH(Search!$B$3,$A691&amp;"")),N(K690)+1,N(K690))))</f>
        <v>0</v>
      </c>
    </row>
    <row r="692" customFormat="false" ht="15" hidden="false" customHeight="false" outlineLevel="0" collapsed="false">
      <c r="K692" s="24" t="n">
        <f aca="false">IF(Search!$B$3="",0,IF($A692="",N(K691),IF(ISNUMBER(SEARCH(Search!$B$3,$A692&amp;"")),N(K691)+1,N(K691))))</f>
        <v>0</v>
      </c>
    </row>
    <row r="693" customFormat="false" ht="15" hidden="false" customHeight="false" outlineLevel="0" collapsed="false">
      <c r="K693" s="24" t="n">
        <f aca="false">IF(Search!$B$3="",0,IF($A693="",N(K692),IF(ISNUMBER(SEARCH(Search!$B$3,$A693&amp;"")),N(K692)+1,N(K692))))</f>
        <v>0</v>
      </c>
    </row>
    <row r="694" customFormat="false" ht="15" hidden="false" customHeight="false" outlineLevel="0" collapsed="false">
      <c r="K694" s="24" t="n">
        <f aca="false">IF(Search!$B$3="",0,IF($A694="",N(K693),IF(ISNUMBER(SEARCH(Search!$B$3,$A694&amp;"")),N(K693)+1,N(K693))))</f>
        <v>0</v>
      </c>
    </row>
    <row r="695" customFormat="false" ht="15" hidden="false" customHeight="false" outlineLevel="0" collapsed="false">
      <c r="K695" s="24" t="n">
        <f aca="false">IF(Search!$B$3="",0,IF($A695="",N(K694),IF(ISNUMBER(SEARCH(Search!$B$3,$A695&amp;"")),N(K694)+1,N(K694))))</f>
        <v>0</v>
      </c>
    </row>
    <row r="696" customFormat="false" ht="15" hidden="false" customHeight="false" outlineLevel="0" collapsed="false">
      <c r="K696" s="24" t="n">
        <f aca="false">IF(Search!$B$3="",0,IF($A696="",N(K695),IF(ISNUMBER(SEARCH(Search!$B$3,$A696&amp;"")),N(K695)+1,N(K695))))</f>
        <v>0</v>
      </c>
    </row>
    <row r="697" customFormat="false" ht="15" hidden="false" customHeight="false" outlineLevel="0" collapsed="false">
      <c r="K697" s="24" t="n">
        <f aca="false">IF(Search!$B$3="",0,IF($A697="",N(K696),IF(ISNUMBER(SEARCH(Search!$B$3,$A697&amp;"")),N(K696)+1,N(K696))))</f>
        <v>0</v>
      </c>
    </row>
    <row r="698" customFormat="false" ht="15" hidden="false" customHeight="false" outlineLevel="0" collapsed="false">
      <c r="K698" s="24" t="n">
        <f aca="false">IF(Search!$B$3="",0,IF($A698="",N(K697),IF(ISNUMBER(SEARCH(Search!$B$3,$A698&amp;"")),N(K697)+1,N(K697))))</f>
        <v>0</v>
      </c>
    </row>
    <row r="699" customFormat="false" ht="15" hidden="false" customHeight="false" outlineLevel="0" collapsed="false">
      <c r="K699" s="24" t="n">
        <f aca="false">IF(Search!$B$3="",0,IF($A699="",N(K698),IF(ISNUMBER(SEARCH(Search!$B$3,$A699&amp;"")),N(K698)+1,N(K698))))</f>
        <v>0</v>
      </c>
    </row>
    <row r="700" customFormat="false" ht="15" hidden="false" customHeight="false" outlineLevel="0" collapsed="false">
      <c r="K700" s="24" t="n">
        <f aca="false">IF(Search!$B$3="",0,IF($A700="",N(K699),IF(ISNUMBER(SEARCH(Search!$B$3,$A700&amp;"")),N(K699)+1,N(K699))))</f>
        <v>0</v>
      </c>
    </row>
    <row r="701" customFormat="false" ht="15" hidden="false" customHeight="false" outlineLevel="0" collapsed="false">
      <c r="K701" s="24" t="n">
        <f aca="false">IF(Search!$B$3="",0,IF($A701="",N(K700),IF(ISNUMBER(SEARCH(Search!$B$3,$A701&amp;"")),N(K700)+1,N(K700))))</f>
        <v>0</v>
      </c>
    </row>
    <row r="702" customFormat="false" ht="15" hidden="false" customHeight="false" outlineLevel="0" collapsed="false">
      <c r="K702" s="24" t="n">
        <f aca="false">IF(Search!$B$3="",0,IF($A702="",N(K701),IF(ISNUMBER(SEARCH(Search!$B$3,$A702&amp;"")),N(K701)+1,N(K701))))</f>
        <v>0</v>
      </c>
    </row>
    <row r="703" customFormat="false" ht="15" hidden="false" customHeight="false" outlineLevel="0" collapsed="false">
      <c r="K703" s="24" t="n">
        <f aca="false">IF(Search!$B$3="",0,IF($A703="",N(K702),IF(ISNUMBER(SEARCH(Search!$B$3,$A703&amp;"")),N(K702)+1,N(K702))))</f>
        <v>0</v>
      </c>
    </row>
    <row r="704" customFormat="false" ht="15" hidden="false" customHeight="false" outlineLevel="0" collapsed="false">
      <c r="K704" s="24" t="n">
        <f aca="false">IF(Search!$B$3="",0,IF($A704="",N(K703),IF(ISNUMBER(SEARCH(Search!$B$3,$A704&amp;"")),N(K703)+1,N(K703))))</f>
        <v>0</v>
      </c>
    </row>
    <row r="705" customFormat="false" ht="15" hidden="false" customHeight="false" outlineLevel="0" collapsed="false">
      <c r="K705" s="24" t="n">
        <f aca="false">IF(Search!$B$3="",0,IF($A705="",N(K704),IF(ISNUMBER(SEARCH(Search!$B$3,$A705&amp;"")),N(K704)+1,N(K704))))</f>
        <v>0</v>
      </c>
    </row>
    <row r="706" customFormat="false" ht="15" hidden="false" customHeight="false" outlineLevel="0" collapsed="false">
      <c r="K706" s="24" t="n">
        <f aca="false">IF(Search!$B$3="",0,IF($A706="",N(K705),IF(ISNUMBER(SEARCH(Search!$B$3,$A706&amp;"")),N(K705)+1,N(K705))))</f>
        <v>0</v>
      </c>
    </row>
    <row r="707" customFormat="false" ht="15" hidden="false" customHeight="false" outlineLevel="0" collapsed="false">
      <c r="K707" s="24" t="n">
        <f aca="false">IF(Search!$B$3="",0,IF($A707="",N(K706),IF(ISNUMBER(SEARCH(Search!$B$3,$A707&amp;"")),N(K706)+1,N(K706))))</f>
        <v>0</v>
      </c>
    </row>
    <row r="708" customFormat="false" ht="15" hidden="false" customHeight="false" outlineLevel="0" collapsed="false">
      <c r="K708" s="24" t="n">
        <f aca="false">IF(Search!$B$3="",0,IF($A708="",N(K707),IF(ISNUMBER(SEARCH(Search!$B$3,$A708&amp;"")),N(K707)+1,N(K707))))</f>
        <v>0</v>
      </c>
    </row>
    <row r="709" customFormat="false" ht="15" hidden="false" customHeight="false" outlineLevel="0" collapsed="false">
      <c r="K709" s="24" t="n">
        <f aca="false">IF(Search!$B$3="",0,IF($A709="",N(K708),IF(ISNUMBER(SEARCH(Search!$B$3,$A709&amp;"")),N(K708)+1,N(K708))))</f>
        <v>0</v>
      </c>
    </row>
    <row r="710" customFormat="false" ht="15" hidden="false" customHeight="false" outlineLevel="0" collapsed="false">
      <c r="K710" s="24" t="n">
        <f aca="false">IF(Search!$B$3="",0,IF($A710="",N(K709),IF(ISNUMBER(SEARCH(Search!$B$3,$A710&amp;"")),N(K709)+1,N(K709))))</f>
        <v>0</v>
      </c>
    </row>
    <row r="711" customFormat="false" ht="15" hidden="false" customHeight="false" outlineLevel="0" collapsed="false">
      <c r="K711" s="24" t="n">
        <f aca="false">IF(Search!$B$3="",0,IF($A711="",N(K710),IF(ISNUMBER(SEARCH(Search!$B$3,$A711&amp;"")),N(K710)+1,N(K710))))</f>
        <v>0</v>
      </c>
    </row>
    <row r="712" customFormat="false" ht="15" hidden="false" customHeight="false" outlineLevel="0" collapsed="false">
      <c r="K712" s="24" t="n">
        <f aca="false">IF(Search!$B$3="",0,IF($A712="",N(K711),IF(ISNUMBER(SEARCH(Search!$B$3,$A712&amp;"")),N(K711)+1,N(K711))))</f>
        <v>0</v>
      </c>
    </row>
    <row r="713" customFormat="false" ht="15" hidden="false" customHeight="false" outlineLevel="0" collapsed="false">
      <c r="K713" s="24" t="n">
        <f aca="false">IF(Search!$B$3="",0,IF($A713="",N(K712),IF(ISNUMBER(SEARCH(Search!$B$3,$A713&amp;"")),N(K712)+1,N(K712))))</f>
        <v>0</v>
      </c>
    </row>
    <row r="714" customFormat="false" ht="15" hidden="false" customHeight="false" outlineLevel="0" collapsed="false">
      <c r="K714" s="24" t="n">
        <f aca="false">IF(Search!$B$3="",0,IF($A714="",N(K713),IF(ISNUMBER(SEARCH(Search!$B$3,$A714&amp;"")),N(K713)+1,N(K713))))</f>
        <v>0</v>
      </c>
    </row>
    <row r="715" customFormat="false" ht="15" hidden="false" customHeight="false" outlineLevel="0" collapsed="false">
      <c r="K715" s="24" t="n">
        <f aca="false">IF(Search!$B$3="",0,IF($A715="",N(K714),IF(ISNUMBER(SEARCH(Search!$B$3,$A715&amp;"")),N(K714)+1,N(K714))))</f>
        <v>0</v>
      </c>
    </row>
    <row r="716" customFormat="false" ht="15" hidden="false" customHeight="false" outlineLevel="0" collapsed="false">
      <c r="K716" s="24" t="n">
        <f aca="false">IF(Search!$B$3="",0,IF($A716="",N(K715),IF(ISNUMBER(SEARCH(Search!$B$3,$A716&amp;"")),N(K715)+1,N(K715))))</f>
        <v>0</v>
      </c>
    </row>
    <row r="717" customFormat="false" ht="15" hidden="false" customHeight="false" outlineLevel="0" collapsed="false">
      <c r="K717" s="24" t="n">
        <f aca="false">IF(Search!$B$3="",0,IF($A717="",N(K716),IF(ISNUMBER(SEARCH(Search!$B$3,$A717&amp;"")),N(K716)+1,N(K716))))</f>
        <v>0</v>
      </c>
    </row>
    <row r="718" customFormat="false" ht="15" hidden="false" customHeight="false" outlineLevel="0" collapsed="false">
      <c r="K718" s="24" t="n">
        <f aca="false">IF(Search!$B$3="",0,IF($A718="",N(K717),IF(ISNUMBER(SEARCH(Search!$B$3,$A718&amp;"")),N(K717)+1,N(K717))))</f>
        <v>0</v>
      </c>
    </row>
    <row r="719" customFormat="false" ht="15" hidden="false" customHeight="false" outlineLevel="0" collapsed="false">
      <c r="K719" s="24" t="n">
        <f aca="false">IF(Search!$B$3="",0,IF($A719="",N(K718),IF(ISNUMBER(SEARCH(Search!$B$3,$A719&amp;"")),N(K718)+1,N(K718))))</f>
        <v>0</v>
      </c>
    </row>
    <row r="720" customFormat="false" ht="15" hidden="false" customHeight="false" outlineLevel="0" collapsed="false">
      <c r="K720" s="24" t="n">
        <f aca="false">IF(Search!$B$3="",0,IF($A720="",N(K719),IF(ISNUMBER(SEARCH(Search!$B$3,$A720&amp;"")),N(K719)+1,N(K719))))</f>
        <v>0</v>
      </c>
    </row>
    <row r="721" customFormat="false" ht="15" hidden="false" customHeight="false" outlineLevel="0" collapsed="false">
      <c r="K721" s="24" t="n">
        <f aca="false">IF(Search!$B$3="",0,IF($A721="",N(K720),IF(ISNUMBER(SEARCH(Search!$B$3,$A721&amp;"")),N(K720)+1,N(K720))))</f>
        <v>0</v>
      </c>
    </row>
    <row r="722" customFormat="false" ht="15" hidden="false" customHeight="false" outlineLevel="0" collapsed="false">
      <c r="K722" s="24" t="n">
        <f aca="false">IF(Search!$B$3="",0,IF($A722="",N(K721),IF(ISNUMBER(SEARCH(Search!$B$3,$A722&amp;"")),N(K721)+1,N(K721))))</f>
        <v>0</v>
      </c>
    </row>
    <row r="723" customFormat="false" ht="15" hidden="false" customHeight="false" outlineLevel="0" collapsed="false">
      <c r="K723" s="24" t="n">
        <f aca="false">IF(Search!$B$3="",0,IF($A723="",N(K722),IF(ISNUMBER(SEARCH(Search!$B$3,$A723&amp;"")),N(K722)+1,N(K722))))</f>
        <v>0</v>
      </c>
    </row>
    <row r="724" customFormat="false" ht="15" hidden="false" customHeight="false" outlineLevel="0" collapsed="false">
      <c r="K724" s="24" t="n">
        <f aca="false">IF(Search!$B$3="",0,IF($A724="",N(K723),IF(ISNUMBER(SEARCH(Search!$B$3,$A724&amp;"")),N(K723)+1,N(K723))))</f>
        <v>0</v>
      </c>
    </row>
    <row r="725" customFormat="false" ht="15" hidden="false" customHeight="false" outlineLevel="0" collapsed="false">
      <c r="K725" s="24" t="n">
        <f aca="false">IF(Search!$B$3="",0,IF($A725="",N(K724),IF(ISNUMBER(SEARCH(Search!$B$3,$A725&amp;"")),N(K724)+1,N(K724))))</f>
        <v>0</v>
      </c>
    </row>
    <row r="726" customFormat="false" ht="15" hidden="false" customHeight="false" outlineLevel="0" collapsed="false">
      <c r="K726" s="24" t="n">
        <f aca="false">IF(Search!$B$3="",0,IF($A726="",N(K725),IF(ISNUMBER(SEARCH(Search!$B$3,$A726&amp;"")),N(K725)+1,N(K725))))</f>
        <v>0</v>
      </c>
    </row>
    <row r="727" customFormat="false" ht="15" hidden="false" customHeight="false" outlineLevel="0" collapsed="false">
      <c r="K727" s="24" t="n">
        <f aca="false">IF(Search!$B$3="",0,IF($A727="",N(K726),IF(ISNUMBER(SEARCH(Search!$B$3,$A727&amp;"")),N(K726)+1,N(K726))))</f>
        <v>0</v>
      </c>
    </row>
    <row r="728" customFormat="false" ht="15" hidden="false" customHeight="false" outlineLevel="0" collapsed="false">
      <c r="K728" s="24" t="n">
        <f aca="false">IF(Search!$B$3="",0,IF($A728="",N(K727),IF(ISNUMBER(SEARCH(Search!$B$3,$A728&amp;"")),N(K727)+1,N(K727))))</f>
        <v>0</v>
      </c>
    </row>
    <row r="729" customFormat="false" ht="15" hidden="false" customHeight="false" outlineLevel="0" collapsed="false">
      <c r="K729" s="24" t="n">
        <f aca="false">IF(Search!$B$3="",0,IF($A729="",N(K728),IF(ISNUMBER(SEARCH(Search!$B$3,$A729&amp;"")),N(K728)+1,N(K728))))</f>
        <v>0</v>
      </c>
    </row>
    <row r="730" customFormat="false" ht="15" hidden="false" customHeight="false" outlineLevel="0" collapsed="false">
      <c r="K730" s="24" t="n">
        <f aca="false">IF(Search!$B$3="",0,IF($A730="",N(K729),IF(ISNUMBER(SEARCH(Search!$B$3,$A730&amp;"")),N(K729)+1,N(K729))))</f>
        <v>0</v>
      </c>
    </row>
    <row r="731" customFormat="false" ht="15" hidden="false" customHeight="false" outlineLevel="0" collapsed="false">
      <c r="K731" s="24" t="n">
        <f aca="false">IF(Search!$B$3="",0,IF($A731="",N(K730),IF(ISNUMBER(SEARCH(Search!$B$3,$A731&amp;"")),N(K730)+1,N(K730))))</f>
        <v>0</v>
      </c>
    </row>
    <row r="732" customFormat="false" ht="15" hidden="false" customHeight="false" outlineLevel="0" collapsed="false">
      <c r="K732" s="24" t="n">
        <f aca="false">IF(Search!$B$3="",0,IF($A732="",N(K731),IF(ISNUMBER(SEARCH(Search!$B$3,$A732&amp;"")),N(K731)+1,N(K731))))</f>
        <v>0</v>
      </c>
    </row>
    <row r="733" customFormat="false" ht="15" hidden="false" customHeight="false" outlineLevel="0" collapsed="false">
      <c r="K733" s="24" t="n">
        <f aca="false">IF(Search!$B$3="",0,IF($A733="",N(K732),IF(ISNUMBER(SEARCH(Search!$B$3,$A733&amp;"")),N(K732)+1,N(K732))))</f>
        <v>0</v>
      </c>
    </row>
    <row r="734" customFormat="false" ht="15" hidden="false" customHeight="false" outlineLevel="0" collapsed="false">
      <c r="K734" s="24" t="n">
        <f aca="false">IF(Search!$B$3="",0,IF($A734="",N(K733),IF(ISNUMBER(SEARCH(Search!$B$3,$A734&amp;"")),N(K733)+1,N(K733))))</f>
        <v>0</v>
      </c>
    </row>
    <row r="735" customFormat="false" ht="15" hidden="false" customHeight="false" outlineLevel="0" collapsed="false">
      <c r="K735" s="24" t="n">
        <f aca="false">IF(Search!$B$3="",0,IF($A735="",N(K734),IF(ISNUMBER(SEARCH(Search!$B$3,$A735&amp;"")),N(K734)+1,N(K734))))</f>
        <v>0</v>
      </c>
    </row>
    <row r="736" customFormat="false" ht="15" hidden="false" customHeight="false" outlineLevel="0" collapsed="false">
      <c r="K736" s="24" t="n">
        <f aca="false">IF(Search!$B$3="",0,IF($A736="",N(K735),IF(ISNUMBER(SEARCH(Search!$B$3,$A736&amp;"")),N(K735)+1,N(K735))))</f>
        <v>0</v>
      </c>
    </row>
    <row r="737" customFormat="false" ht="15" hidden="false" customHeight="false" outlineLevel="0" collapsed="false">
      <c r="K737" s="24" t="n">
        <f aca="false">IF(Search!$B$3="",0,IF($A737="",N(K736),IF(ISNUMBER(SEARCH(Search!$B$3,$A737&amp;"")),N(K736)+1,N(K736))))</f>
        <v>0</v>
      </c>
    </row>
    <row r="738" customFormat="false" ht="15" hidden="false" customHeight="false" outlineLevel="0" collapsed="false">
      <c r="K738" s="24" t="n">
        <f aca="false">IF(Search!$B$3="",0,IF($A738="",N(K737),IF(ISNUMBER(SEARCH(Search!$B$3,$A738&amp;"")),N(K737)+1,N(K737))))</f>
        <v>0</v>
      </c>
    </row>
    <row r="739" customFormat="false" ht="15" hidden="false" customHeight="false" outlineLevel="0" collapsed="false">
      <c r="K739" s="24" t="n">
        <f aca="false">IF(Search!$B$3="",0,IF($A739="",N(K738),IF(ISNUMBER(SEARCH(Search!$B$3,$A739&amp;"")),N(K738)+1,N(K738))))</f>
        <v>0</v>
      </c>
    </row>
    <row r="740" customFormat="false" ht="15" hidden="false" customHeight="false" outlineLevel="0" collapsed="false">
      <c r="K740" s="24" t="n">
        <f aca="false">IF(Search!$B$3="",0,IF($A740="",N(K739),IF(ISNUMBER(SEARCH(Search!$B$3,$A740&amp;"")),N(K739)+1,N(K739))))</f>
        <v>0</v>
      </c>
    </row>
    <row r="741" customFormat="false" ht="15" hidden="false" customHeight="false" outlineLevel="0" collapsed="false">
      <c r="K741" s="24" t="n">
        <f aca="false">IF(Search!$B$3="",0,IF($A741="",N(K740),IF(ISNUMBER(SEARCH(Search!$B$3,$A741&amp;"")),N(K740)+1,N(K740))))</f>
        <v>0</v>
      </c>
    </row>
    <row r="742" customFormat="false" ht="15" hidden="false" customHeight="false" outlineLevel="0" collapsed="false">
      <c r="K742" s="24" t="n">
        <f aca="false">IF(Search!$B$3="",0,IF($A742="",N(K741),IF(ISNUMBER(SEARCH(Search!$B$3,$A742&amp;"")),N(K741)+1,N(K741))))</f>
        <v>0</v>
      </c>
    </row>
    <row r="743" customFormat="false" ht="15" hidden="false" customHeight="false" outlineLevel="0" collapsed="false">
      <c r="K743" s="24" t="n">
        <f aca="false">IF(Search!$B$3="",0,IF($A743="",N(K742),IF(ISNUMBER(SEARCH(Search!$B$3,$A743&amp;"")),N(K742)+1,N(K742))))</f>
        <v>0</v>
      </c>
    </row>
    <row r="744" customFormat="false" ht="15" hidden="false" customHeight="false" outlineLevel="0" collapsed="false">
      <c r="K744" s="24" t="n">
        <f aca="false">IF(Search!$B$3="",0,IF($A744="",N(K743),IF(ISNUMBER(SEARCH(Search!$B$3,$A744&amp;"")),N(K743)+1,N(K743))))</f>
        <v>0</v>
      </c>
    </row>
    <row r="745" customFormat="false" ht="15" hidden="false" customHeight="false" outlineLevel="0" collapsed="false">
      <c r="K745" s="24" t="n">
        <f aca="false">IF(Search!$B$3="",0,IF($A745="",N(K744),IF(ISNUMBER(SEARCH(Search!$B$3,$A745&amp;"")),N(K744)+1,N(K744))))</f>
        <v>0</v>
      </c>
    </row>
    <row r="746" customFormat="false" ht="15" hidden="false" customHeight="false" outlineLevel="0" collapsed="false">
      <c r="K746" s="24" t="n">
        <f aca="false">IF(Search!$B$3="",0,IF($A746="",N(K745),IF(ISNUMBER(SEARCH(Search!$B$3,$A746&amp;"")),N(K745)+1,N(K745))))</f>
        <v>0</v>
      </c>
    </row>
    <row r="747" customFormat="false" ht="15" hidden="false" customHeight="false" outlineLevel="0" collapsed="false">
      <c r="K747" s="24" t="n">
        <f aca="false">IF(Search!$B$3="",0,IF($A747="",N(K746),IF(ISNUMBER(SEARCH(Search!$B$3,$A747&amp;"")),N(K746)+1,N(K746))))</f>
        <v>0</v>
      </c>
    </row>
    <row r="748" customFormat="false" ht="15" hidden="false" customHeight="false" outlineLevel="0" collapsed="false">
      <c r="K748" s="24" t="n">
        <f aca="false">IF(Search!$B$3="",0,IF($A748="",N(K747),IF(ISNUMBER(SEARCH(Search!$B$3,$A748&amp;"")),N(K747)+1,N(K747))))</f>
        <v>0</v>
      </c>
    </row>
    <row r="749" customFormat="false" ht="15" hidden="false" customHeight="false" outlineLevel="0" collapsed="false">
      <c r="K749" s="24" t="n">
        <f aca="false">IF(Search!$B$3="",0,IF($A749="",N(K748),IF(ISNUMBER(SEARCH(Search!$B$3,$A749&amp;"")),N(K748)+1,N(K748))))</f>
        <v>0</v>
      </c>
    </row>
    <row r="750" customFormat="false" ht="15" hidden="false" customHeight="false" outlineLevel="0" collapsed="false">
      <c r="K750" s="24" t="n">
        <f aca="false">IF(Search!$B$3="",0,IF($A750="",N(K749),IF(ISNUMBER(SEARCH(Search!$B$3,$A750&amp;"")),N(K749)+1,N(K749))))</f>
        <v>0</v>
      </c>
    </row>
    <row r="751" customFormat="false" ht="15" hidden="false" customHeight="false" outlineLevel="0" collapsed="false">
      <c r="K751" s="24" t="n">
        <f aca="false">IF(Search!$B$3="",0,IF($A751="",N(K750),IF(ISNUMBER(SEARCH(Search!$B$3,$A751&amp;"")),N(K750)+1,N(K750))))</f>
        <v>0</v>
      </c>
    </row>
    <row r="752" customFormat="false" ht="15" hidden="false" customHeight="false" outlineLevel="0" collapsed="false">
      <c r="K752" s="24" t="n">
        <f aca="false">IF(Search!$B$3="",0,IF($A752="",N(K751),IF(ISNUMBER(SEARCH(Search!$B$3,$A752&amp;"")),N(K751)+1,N(K751))))</f>
        <v>0</v>
      </c>
    </row>
    <row r="753" customFormat="false" ht="15" hidden="false" customHeight="false" outlineLevel="0" collapsed="false">
      <c r="K753" s="24" t="n">
        <f aca="false">IF(Search!$B$3="",0,IF($A753="",N(K752),IF(ISNUMBER(SEARCH(Search!$B$3,$A753&amp;"")),N(K752)+1,N(K752))))</f>
        <v>0</v>
      </c>
    </row>
    <row r="754" customFormat="false" ht="15" hidden="false" customHeight="false" outlineLevel="0" collapsed="false">
      <c r="K754" s="24" t="n">
        <f aca="false">IF(Search!$B$3="",0,IF($A754="",N(K753),IF(ISNUMBER(SEARCH(Search!$B$3,$A754&amp;"")),N(K753)+1,N(K753))))</f>
        <v>0</v>
      </c>
    </row>
    <row r="755" customFormat="false" ht="15" hidden="false" customHeight="false" outlineLevel="0" collapsed="false">
      <c r="K755" s="24" t="n">
        <f aca="false">IF(Search!$B$3="",0,IF($A755="",N(K754),IF(ISNUMBER(SEARCH(Search!$B$3,$A755&amp;"")),N(K754)+1,N(K754))))</f>
        <v>0</v>
      </c>
    </row>
    <row r="756" customFormat="false" ht="15" hidden="false" customHeight="false" outlineLevel="0" collapsed="false">
      <c r="K756" s="24" t="n">
        <f aca="false">IF(Search!$B$3="",0,IF($A756="",N(K755),IF(ISNUMBER(SEARCH(Search!$B$3,$A756&amp;"")),N(K755)+1,N(K755))))</f>
        <v>0</v>
      </c>
    </row>
    <row r="757" customFormat="false" ht="15" hidden="false" customHeight="false" outlineLevel="0" collapsed="false">
      <c r="K757" s="24" t="n">
        <f aca="false">IF(Search!$B$3="",0,IF($A757="",N(K756),IF(ISNUMBER(SEARCH(Search!$B$3,$A757&amp;"")),N(K756)+1,N(K756))))</f>
        <v>0</v>
      </c>
    </row>
    <row r="758" customFormat="false" ht="15" hidden="false" customHeight="false" outlineLevel="0" collapsed="false">
      <c r="K758" s="24" t="n">
        <f aca="false">IF(Search!$B$3="",0,IF($A758="",N(K757),IF(ISNUMBER(SEARCH(Search!$B$3,$A758&amp;"")),N(K757)+1,N(K757))))</f>
        <v>0</v>
      </c>
    </row>
    <row r="759" customFormat="false" ht="15" hidden="false" customHeight="false" outlineLevel="0" collapsed="false">
      <c r="K759" s="24" t="n">
        <f aca="false">IF(Search!$B$3="",0,IF($A759="",N(K758),IF(ISNUMBER(SEARCH(Search!$B$3,$A759&amp;"")),N(K758)+1,N(K758))))</f>
        <v>0</v>
      </c>
    </row>
    <row r="760" customFormat="false" ht="15" hidden="false" customHeight="false" outlineLevel="0" collapsed="false">
      <c r="K760" s="24" t="n">
        <f aca="false">IF(Search!$B$3="",0,IF($A760="",N(K759),IF(ISNUMBER(SEARCH(Search!$B$3,$A760&amp;"")),N(K759)+1,N(K759))))</f>
        <v>0</v>
      </c>
    </row>
    <row r="761" customFormat="false" ht="15" hidden="false" customHeight="false" outlineLevel="0" collapsed="false">
      <c r="K761" s="24" t="n">
        <f aca="false">IF(Search!$B$3="",0,IF($A761="",N(K760),IF(ISNUMBER(SEARCH(Search!$B$3,$A761&amp;"")),N(K760)+1,N(K760))))</f>
        <v>0</v>
      </c>
    </row>
    <row r="762" customFormat="false" ht="15" hidden="false" customHeight="false" outlineLevel="0" collapsed="false">
      <c r="K762" s="24" t="n">
        <f aca="false">IF(Search!$B$3="",0,IF($A762="",N(K761),IF(ISNUMBER(SEARCH(Search!$B$3,$A762&amp;"")),N(K761)+1,N(K761))))</f>
        <v>0</v>
      </c>
    </row>
    <row r="763" customFormat="false" ht="15" hidden="false" customHeight="false" outlineLevel="0" collapsed="false">
      <c r="K763" s="24" t="n">
        <f aca="false">IF(Search!$B$3="",0,IF($A763="",N(K762),IF(ISNUMBER(SEARCH(Search!$B$3,$A763&amp;"")),N(K762)+1,N(K762))))</f>
        <v>0</v>
      </c>
    </row>
    <row r="764" customFormat="false" ht="15" hidden="false" customHeight="false" outlineLevel="0" collapsed="false">
      <c r="K764" s="24" t="n">
        <f aca="false">IF(Search!$B$3="",0,IF($A764="",N(K763),IF(ISNUMBER(SEARCH(Search!$B$3,$A764&amp;"")),N(K763)+1,N(K763))))</f>
        <v>0</v>
      </c>
    </row>
    <row r="765" customFormat="false" ht="15" hidden="false" customHeight="false" outlineLevel="0" collapsed="false">
      <c r="K765" s="24" t="n">
        <f aca="false">IF(Search!$B$3="",0,IF($A765="",N(K764),IF(ISNUMBER(SEARCH(Search!$B$3,$A765&amp;"")),N(K764)+1,N(K764))))</f>
        <v>0</v>
      </c>
    </row>
    <row r="766" customFormat="false" ht="15" hidden="false" customHeight="false" outlineLevel="0" collapsed="false">
      <c r="K766" s="24" t="n">
        <f aca="false">IF(Search!$B$3="",0,IF($A766="",N(K765),IF(ISNUMBER(SEARCH(Search!$B$3,$A766&amp;"")),N(K765)+1,N(K765))))</f>
        <v>0</v>
      </c>
    </row>
    <row r="767" customFormat="false" ht="15" hidden="false" customHeight="false" outlineLevel="0" collapsed="false">
      <c r="K767" s="24" t="n">
        <f aca="false">IF(Search!$B$3="",0,IF($A767="",N(K766),IF(ISNUMBER(SEARCH(Search!$B$3,$A767&amp;"")),N(K766)+1,N(K766))))</f>
        <v>0</v>
      </c>
    </row>
    <row r="768" customFormat="false" ht="15" hidden="false" customHeight="false" outlineLevel="0" collapsed="false">
      <c r="K768" s="24" t="n">
        <f aca="false">IF(Search!$B$3="",0,IF($A768="",N(K767),IF(ISNUMBER(SEARCH(Search!$B$3,$A768&amp;"")),N(K767)+1,N(K767))))</f>
        <v>0</v>
      </c>
    </row>
    <row r="769" customFormat="false" ht="15" hidden="false" customHeight="false" outlineLevel="0" collapsed="false">
      <c r="K769" s="24" t="n">
        <f aca="false">IF(Search!$B$3="",0,IF($A769="",N(K768),IF(ISNUMBER(SEARCH(Search!$B$3,$A769&amp;"")),N(K768)+1,N(K768))))</f>
        <v>0</v>
      </c>
    </row>
    <row r="770" customFormat="false" ht="15" hidden="false" customHeight="false" outlineLevel="0" collapsed="false">
      <c r="K770" s="24" t="n">
        <f aca="false">IF(Search!$B$3="",0,IF($A770="",N(K769),IF(ISNUMBER(SEARCH(Search!$B$3,$A770&amp;"")),N(K769)+1,N(K769))))</f>
        <v>0</v>
      </c>
    </row>
    <row r="771" customFormat="false" ht="15" hidden="false" customHeight="false" outlineLevel="0" collapsed="false">
      <c r="K771" s="24" t="n">
        <f aca="false">IF(Search!$B$3="",0,IF($A771="",N(K770),IF(ISNUMBER(SEARCH(Search!$B$3,$A771&amp;"")),N(K770)+1,N(K770))))</f>
        <v>0</v>
      </c>
    </row>
    <row r="772" customFormat="false" ht="15" hidden="false" customHeight="false" outlineLevel="0" collapsed="false">
      <c r="K772" s="24" t="n">
        <f aca="false">IF(Search!$B$3="",0,IF($A772="",N(K771),IF(ISNUMBER(SEARCH(Search!$B$3,$A772&amp;"")),N(K771)+1,N(K771))))</f>
        <v>0</v>
      </c>
    </row>
    <row r="773" customFormat="false" ht="15" hidden="false" customHeight="false" outlineLevel="0" collapsed="false">
      <c r="K773" s="24" t="n">
        <f aca="false">IF(Search!$B$3="",0,IF($A773="",N(K772),IF(ISNUMBER(SEARCH(Search!$B$3,$A773&amp;"")),N(K772)+1,N(K772))))</f>
        <v>0</v>
      </c>
    </row>
    <row r="774" customFormat="false" ht="15" hidden="false" customHeight="false" outlineLevel="0" collapsed="false">
      <c r="K774" s="24" t="n">
        <f aca="false">IF(Search!$B$3="",0,IF($A774="",N(K773),IF(ISNUMBER(SEARCH(Search!$B$3,$A774&amp;"")),N(K773)+1,N(K773))))</f>
        <v>0</v>
      </c>
    </row>
    <row r="775" customFormat="false" ht="15" hidden="false" customHeight="false" outlineLevel="0" collapsed="false">
      <c r="K775" s="24" t="n">
        <f aca="false">IF(Search!$B$3="",0,IF($A775="",N(K774),IF(ISNUMBER(SEARCH(Search!$B$3,$A775&amp;"")),N(K774)+1,N(K774))))</f>
        <v>0</v>
      </c>
    </row>
    <row r="776" customFormat="false" ht="15" hidden="false" customHeight="false" outlineLevel="0" collapsed="false">
      <c r="K776" s="24" t="n">
        <f aca="false">IF(Search!$B$3="",0,IF($A776="",N(K775),IF(ISNUMBER(SEARCH(Search!$B$3,$A776&amp;"")),N(K775)+1,N(K775))))</f>
        <v>0</v>
      </c>
    </row>
    <row r="777" customFormat="false" ht="15" hidden="false" customHeight="false" outlineLevel="0" collapsed="false">
      <c r="K777" s="24" t="n">
        <f aca="false">IF(Search!$B$3="",0,IF($A777="",N(K776),IF(ISNUMBER(SEARCH(Search!$B$3,$A777&amp;"")),N(K776)+1,N(K776))))</f>
        <v>0</v>
      </c>
    </row>
    <row r="778" customFormat="false" ht="15" hidden="false" customHeight="false" outlineLevel="0" collapsed="false">
      <c r="K778" s="24" t="n">
        <f aca="false">IF(Search!$B$3="",0,IF($A778="",N(K777),IF(ISNUMBER(SEARCH(Search!$B$3,$A778&amp;"")),N(K777)+1,N(K777))))</f>
        <v>0</v>
      </c>
    </row>
    <row r="779" customFormat="false" ht="15" hidden="false" customHeight="false" outlineLevel="0" collapsed="false">
      <c r="K779" s="24" t="n">
        <f aca="false">IF(Search!$B$3="",0,IF($A779="",N(K778),IF(ISNUMBER(SEARCH(Search!$B$3,$A779&amp;"")),N(K778)+1,N(K778))))</f>
        <v>0</v>
      </c>
    </row>
    <row r="780" customFormat="false" ht="15" hidden="false" customHeight="false" outlineLevel="0" collapsed="false">
      <c r="K780" s="24" t="n">
        <f aca="false">IF(Search!$B$3="",0,IF($A780="",N(K779),IF(ISNUMBER(SEARCH(Search!$B$3,$A780&amp;"")),N(K779)+1,N(K779))))</f>
        <v>0</v>
      </c>
    </row>
    <row r="781" customFormat="false" ht="15" hidden="false" customHeight="false" outlineLevel="0" collapsed="false">
      <c r="K781" s="24" t="n">
        <f aca="false">IF(Search!$B$3="",0,IF($A781="",N(K780),IF(ISNUMBER(SEARCH(Search!$B$3,$A781&amp;"")),N(K780)+1,N(K780))))</f>
        <v>0</v>
      </c>
    </row>
    <row r="782" customFormat="false" ht="15" hidden="false" customHeight="false" outlineLevel="0" collapsed="false">
      <c r="K782" s="24" t="n">
        <f aca="false">IF(Search!$B$3="",0,IF($A782="",N(K781),IF(ISNUMBER(SEARCH(Search!$B$3,$A782&amp;"")),N(K781)+1,N(K781))))</f>
        <v>0</v>
      </c>
    </row>
    <row r="783" customFormat="false" ht="15" hidden="false" customHeight="false" outlineLevel="0" collapsed="false">
      <c r="K783" s="24" t="n">
        <f aca="false">IF(Search!$B$3="",0,IF($A783="",N(K782),IF(ISNUMBER(SEARCH(Search!$B$3,$A783&amp;"")),N(K782)+1,N(K782))))</f>
        <v>0</v>
      </c>
    </row>
    <row r="784" customFormat="false" ht="15" hidden="false" customHeight="false" outlineLevel="0" collapsed="false">
      <c r="K784" s="24" t="n">
        <f aca="false">IF(Search!$B$3="",0,IF($A784="",N(K783),IF(ISNUMBER(SEARCH(Search!$B$3,$A784&amp;"")),N(K783)+1,N(K783))))</f>
        <v>0</v>
      </c>
    </row>
    <row r="785" customFormat="false" ht="15" hidden="false" customHeight="false" outlineLevel="0" collapsed="false">
      <c r="K785" s="24" t="n">
        <f aca="false">IF(Search!$B$3="",0,IF($A785="",N(K784),IF(ISNUMBER(SEARCH(Search!$B$3,$A785&amp;"")),N(K784)+1,N(K784))))</f>
        <v>0</v>
      </c>
    </row>
    <row r="786" customFormat="false" ht="15" hidden="false" customHeight="false" outlineLevel="0" collapsed="false">
      <c r="K786" s="24" t="n">
        <f aca="false">IF(Search!$B$3="",0,IF($A786="",N(K785),IF(ISNUMBER(SEARCH(Search!$B$3,$A786&amp;"")),N(K785)+1,N(K785))))</f>
        <v>0</v>
      </c>
    </row>
    <row r="787" customFormat="false" ht="15" hidden="false" customHeight="false" outlineLevel="0" collapsed="false">
      <c r="K787" s="24" t="n">
        <f aca="false">IF(Search!$B$3="",0,IF($A787="",N(K786),IF(ISNUMBER(SEARCH(Search!$B$3,$A787&amp;"")),N(K786)+1,N(K786))))</f>
        <v>0</v>
      </c>
    </row>
    <row r="788" customFormat="false" ht="15" hidden="false" customHeight="false" outlineLevel="0" collapsed="false">
      <c r="K788" s="24" t="n">
        <f aca="false">IF(Search!$B$3="",0,IF($A788="",N(K787),IF(ISNUMBER(SEARCH(Search!$B$3,$A788&amp;"")),N(K787)+1,N(K787))))</f>
        <v>0</v>
      </c>
    </row>
    <row r="789" customFormat="false" ht="15" hidden="false" customHeight="false" outlineLevel="0" collapsed="false">
      <c r="K789" s="24" t="n">
        <f aca="false">IF(Search!$B$3="",0,IF($A789="",N(K788),IF(ISNUMBER(SEARCH(Search!$B$3,$A789&amp;"")),N(K788)+1,N(K788))))</f>
        <v>0</v>
      </c>
    </row>
    <row r="790" customFormat="false" ht="15" hidden="false" customHeight="false" outlineLevel="0" collapsed="false">
      <c r="K790" s="24" t="n">
        <f aca="false">IF(Search!$B$3="",0,IF($A790="",N(K789),IF(ISNUMBER(SEARCH(Search!$B$3,$A790&amp;"")),N(K789)+1,N(K789))))</f>
        <v>0</v>
      </c>
    </row>
    <row r="791" customFormat="false" ht="15" hidden="false" customHeight="false" outlineLevel="0" collapsed="false">
      <c r="K791" s="24" t="n">
        <f aca="false">IF(Search!$B$3="",0,IF($A791="",N(K790),IF(ISNUMBER(SEARCH(Search!$B$3,$A791&amp;"")),N(K790)+1,N(K790))))</f>
        <v>0</v>
      </c>
    </row>
    <row r="792" customFormat="false" ht="15" hidden="false" customHeight="false" outlineLevel="0" collapsed="false">
      <c r="K792" s="24" t="n">
        <f aca="false">IF(Search!$B$3="",0,IF($A792="",N(K791),IF(ISNUMBER(SEARCH(Search!$B$3,$A792&amp;"")),N(K791)+1,N(K791))))</f>
        <v>0</v>
      </c>
    </row>
    <row r="793" customFormat="false" ht="15" hidden="false" customHeight="false" outlineLevel="0" collapsed="false">
      <c r="K793" s="24" t="n">
        <f aca="false">IF(Search!$B$3="",0,IF($A793="",N(K792),IF(ISNUMBER(SEARCH(Search!$B$3,$A793&amp;"")),N(K792)+1,N(K792))))</f>
        <v>0</v>
      </c>
    </row>
    <row r="794" customFormat="false" ht="15" hidden="false" customHeight="false" outlineLevel="0" collapsed="false">
      <c r="K794" s="24" t="n">
        <f aca="false">IF(Search!$B$3="",0,IF($A794="",N(K793),IF(ISNUMBER(SEARCH(Search!$B$3,$A794&amp;"")),N(K793)+1,N(K793))))</f>
        <v>0</v>
      </c>
    </row>
    <row r="795" customFormat="false" ht="15" hidden="false" customHeight="false" outlineLevel="0" collapsed="false">
      <c r="K795" s="24" t="n">
        <f aca="false">IF(Search!$B$3="",0,IF($A795="",N(K794),IF(ISNUMBER(SEARCH(Search!$B$3,$A795&amp;"")),N(K794)+1,N(K794))))</f>
        <v>0</v>
      </c>
    </row>
    <row r="796" customFormat="false" ht="15" hidden="false" customHeight="false" outlineLevel="0" collapsed="false">
      <c r="K796" s="24" t="n">
        <f aca="false">IF(Search!$B$3="",0,IF($A796="",N(K795),IF(ISNUMBER(SEARCH(Search!$B$3,$A796&amp;"")),N(K795)+1,N(K795))))</f>
        <v>0</v>
      </c>
    </row>
    <row r="797" customFormat="false" ht="15" hidden="false" customHeight="false" outlineLevel="0" collapsed="false">
      <c r="K797" s="24" t="n">
        <f aca="false">IF(Search!$B$3="",0,IF($A797="",N(K796),IF(ISNUMBER(SEARCH(Search!$B$3,$A797&amp;"")),N(K796)+1,N(K796))))</f>
        <v>0</v>
      </c>
    </row>
    <row r="798" customFormat="false" ht="15" hidden="false" customHeight="false" outlineLevel="0" collapsed="false">
      <c r="K798" s="24" t="n">
        <f aca="false">IF(Search!$B$3="",0,IF($A798="",N(K797),IF(ISNUMBER(SEARCH(Search!$B$3,$A798&amp;"")),N(K797)+1,N(K797))))</f>
        <v>0</v>
      </c>
    </row>
    <row r="799" customFormat="false" ht="15" hidden="false" customHeight="false" outlineLevel="0" collapsed="false">
      <c r="K799" s="24" t="n">
        <f aca="false">IF(Search!$B$3="",0,IF($A799="",N(K798),IF(ISNUMBER(SEARCH(Search!$B$3,$A799&amp;"")),N(K798)+1,N(K798))))</f>
        <v>0</v>
      </c>
    </row>
    <row r="800" customFormat="false" ht="15" hidden="false" customHeight="false" outlineLevel="0" collapsed="false">
      <c r="K800" s="24" t="n">
        <f aca="false">IF(Search!$B$3="",0,IF($A800="",N(K799),IF(ISNUMBER(SEARCH(Search!$B$3,$A800&amp;"")),N(K799)+1,N(K799))))</f>
        <v>0</v>
      </c>
    </row>
    <row r="801" customFormat="false" ht="15" hidden="false" customHeight="false" outlineLevel="0" collapsed="false">
      <c r="K801" s="24" t="n">
        <f aca="false">IF(Search!$B$3="",0,IF($A801="",N(K800),IF(ISNUMBER(SEARCH(Search!$B$3,$A801&amp;"")),N(K800)+1,N(K800))))</f>
        <v>0</v>
      </c>
    </row>
    <row r="802" customFormat="false" ht="15" hidden="false" customHeight="false" outlineLevel="0" collapsed="false">
      <c r="K802" s="24" t="n">
        <f aca="false">IF(Search!$B$3="",0,IF($A802="",N(K801),IF(ISNUMBER(SEARCH(Search!$B$3,$A802&amp;"")),N(K801)+1,N(K801))))</f>
        <v>0</v>
      </c>
    </row>
    <row r="803" customFormat="false" ht="15" hidden="false" customHeight="false" outlineLevel="0" collapsed="false">
      <c r="K803" s="24" t="n">
        <f aca="false">IF(Search!$B$3="",0,IF($A803="",N(K802),IF(ISNUMBER(SEARCH(Search!$B$3,$A803&amp;"")),N(K802)+1,N(K802))))</f>
        <v>0</v>
      </c>
    </row>
    <row r="804" customFormat="false" ht="15" hidden="false" customHeight="false" outlineLevel="0" collapsed="false">
      <c r="K804" s="24" t="n">
        <f aca="false">IF(Search!$B$3="",0,IF($A804="",N(K803),IF(ISNUMBER(SEARCH(Search!$B$3,$A804&amp;"")),N(K803)+1,N(K803))))</f>
        <v>0</v>
      </c>
    </row>
    <row r="805" customFormat="false" ht="15" hidden="false" customHeight="false" outlineLevel="0" collapsed="false">
      <c r="K805" s="24" t="n">
        <f aca="false">IF(Search!$B$3="",0,IF($A805="",N(K804),IF(ISNUMBER(SEARCH(Search!$B$3,$A805&amp;"")),N(K804)+1,N(K804))))</f>
        <v>0</v>
      </c>
    </row>
    <row r="806" customFormat="false" ht="15" hidden="false" customHeight="false" outlineLevel="0" collapsed="false">
      <c r="K806" s="24" t="n">
        <f aca="false">IF(Search!$B$3="",0,IF($A806="",N(K805),IF(ISNUMBER(SEARCH(Search!$B$3,$A806&amp;"")),N(K805)+1,N(K805))))</f>
        <v>0</v>
      </c>
    </row>
    <row r="807" customFormat="false" ht="15" hidden="false" customHeight="false" outlineLevel="0" collapsed="false">
      <c r="K807" s="24" t="n">
        <f aca="false">IF(Search!$B$3="",0,IF($A807="",N(K806),IF(ISNUMBER(SEARCH(Search!$B$3,$A807&amp;"")),N(K806)+1,N(K806))))</f>
        <v>0</v>
      </c>
    </row>
    <row r="808" customFormat="false" ht="15" hidden="false" customHeight="false" outlineLevel="0" collapsed="false">
      <c r="K808" s="24" t="n">
        <f aca="false">IF(Search!$B$3="",0,IF($A808="",N(K807),IF(ISNUMBER(SEARCH(Search!$B$3,$A808&amp;"")),N(K807)+1,N(K807))))</f>
        <v>0</v>
      </c>
    </row>
    <row r="809" customFormat="false" ht="15" hidden="false" customHeight="false" outlineLevel="0" collapsed="false">
      <c r="K809" s="24" t="n">
        <f aca="false">IF(Search!$B$3="",0,IF($A809="",N(K808),IF(ISNUMBER(SEARCH(Search!$B$3,$A809&amp;"")),N(K808)+1,N(K808))))</f>
        <v>0</v>
      </c>
    </row>
    <row r="810" customFormat="false" ht="15" hidden="false" customHeight="false" outlineLevel="0" collapsed="false">
      <c r="K810" s="24" t="n">
        <f aca="false">IF(Search!$B$3="",0,IF($A810="",N(K809),IF(ISNUMBER(SEARCH(Search!$B$3,$A810&amp;"")),N(K809)+1,N(K809))))</f>
        <v>0</v>
      </c>
    </row>
    <row r="811" customFormat="false" ht="15" hidden="false" customHeight="false" outlineLevel="0" collapsed="false">
      <c r="K811" s="24" t="n">
        <f aca="false">IF(Search!$B$3="",0,IF($A811="",N(K810),IF(ISNUMBER(SEARCH(Search!$B$3,$A811&amp;"")),N(K810)+1,N(K810))))</f>
        <v>0</v>
      </c>
    </row>
    <row r="812" customFormat="false" ht="15" hidden="false" customHeight="false" outlineLevel="0" collapsed="false">
      <c r="K812" s="24" t="n">
        <f aca="false">IF(Search!$B$3="",0,IF($A812="",N(K811),IF(ISNUMBER(SEARCH(Search!$B$3,$A812&amp;"")),N(K811)+1,N(K811))))</f>
        <v>0</v>
      </c>
    </row>
    <row r="813" customFormat="false" ht="15" hidden="false" customHeight="false" outlineLevel="0" collapsed="false">
      <c r="K813" s="24" t="n">
        <f aca="false">IF(Search!$B$3="",0,IF($A813="",N(K812),IF(ISNUMBER(SEARCH(Search!$B$3,$A813&amp;"")),N(K812)+1,N(K812))))</f>
        <v>0</v>
      </c>
    </row>
    <row r="814" customFormat="false" ht="15" hidden="false" customHeight="false" outlineLevel="0" collapsed="false">
      <c r="K814" s="24" t="n">
        <f aca="false">IF(Search!$B$3="",0,IF($A814="",N(K813),IF(ISNUMBER(SEARCH(Search!$B$3,$A814&amp;"")),N(K813)+1,N(K813))))</f>
        <v>0</v>
      </c>
    </row>
    <row r="815" customFormat="false" ht="15" hidden="false" customHeight="false" outlineLevel="0" collapsed="false">
      <c r="K815" s="24" t="n">
        <f aca="false">IF(Search!$B$3="",0,IF($A815="",N(K814),IF(ISNUMBER(SEARCH(Search!$B$3,$A815&amp;"")),N(K814)+1,N(K814))))</f>
        <v>0</v>
      </c>
    </row>
    <row r="816" customFormat="false" ht="15" hidden="false" customHeight="false" outlineLevel="0" collapsed="false">
      <c r="K816" s="24" t="n">
        <f aca="false">IF(Search!$B$3="",0,IF($A816="",N(K815),IF(ISNUMBER(SEARCH(Search!$B$3,$A816&amp;"")),N(K815)+1,N(K815))))</f>
        <v>0</v>
      </c>
    </row>
    <row r="817" customFormat="false" ht="15" hidden="false" customHeight="false" outlineLevel="0" collapsed="false">
      <c r="K817" s="24" t="n">
        <f aca="false">IF(Search!$B$3="",0,IF($A817="",N(K816),IF(ISNUMBER(SEARCH(Search!$B$3,$A817&amp;"")),N(K816)+1,N(K816))))</f>
        <v>0</v>
      </c>
    </row>
    <row r="818" customFormat="false" ht="15" hidden="false" customHeight="false" outlineLevel="0" collapsed="false">
      <c r="K818" s="24" t="n">
        <f aca="false">IF(Search!$B$3="",0,IF($A818="",N(K817),IF(ISNUMBER(SEARCH(Search!$B$3,$A818&amp;"")),N(K817)+1,N(K817))))</f>
        <v>0</v>
      </c>
    </row>
    <row r="819" customFormat="false" ht="15" hidden="false" customHeight="false" outlineLevel="0" collapsed="false">
      <c r="K819" s="24" t="n">
        <f aca="false">IF(Search!$B$3="",0,IF($A819="",N(K818),IF(ISNUMBER(SEARCH(Search!$B$3,$A819&amp;"")),N(K818)+1,N(K818))))</f>
        <v>0</v>
      </c>
    </row>
    <row r="820" customFormat="false" ht="15" hidden="false" customHeight="false" outlineLevel="0" collapsed="false">
      <c r="K820" s="24" t="n">
        <f aca="false">IF(Search!$B$3="",0,IF($A820="",N(K819),IF(ISNUMBER(SEARCH(Search!$B$3,$A820&amp;"")),N(K819)+1,N(K819))))</f>
        <v>0</v>
      </c>
    </row>
    <row r="821" customFormat="false" ht="15" hidden="false" customHeight="false" outlineLevel="0" collapsed="false">
      <c r="K821" s="24" t="n">
        <f aca="false">IF(Search!$B$3="",0,IF($A821="",N(K820),IF(ISNUMBER(SEARCH(Search!$B$3,$A821&amp;"")),N(K820)+1,N(K820))))</f>
        <v>0</v>
      </c>
    </row>
    <row r="822" customFormat="false" ht="15" hidden="false" customHeight="false" outlineLevel="0" collapsed="false">
      <c r="K822" s="24" t="n">
        <f aca="false">IF(Search!$B$3="",0,IF($A822="",N(K821),IF(ISNUMBER(SEARCH(Search!$B$3,$A822&amp;"")),N(K821)+1,N(K821))))</f>
        <v>0</v>
      </c>
    </row>
    <row r="823" customFormat="false" ht="15" hidden="false" customHeight="false" outlineLevel="0" collapsed="false">
      <c r="K823" s="24" t="n">
        <f aca="false">IF(Search!$B$3="",0,IF($A823="",N(K822),IF(ISNUMBER(SEARCH(Search!$B$3,$A823&amp;"")),N(K822)+1,N(K822))))</f>
        <v>0</v>
      </c>
    </row>
    <row r="824" customFormat="false" ht="15" hidden="false" customHeight="false" outlineLevel="0" collapsed="false">
      <c r="K824" s="24" t="n">
        <f aca="false">IF(Search!$B$3="",0,IF($A824="",N(K823),IF(ISNUMBER(SEARCH(Search!$B$3,$A824&amp;"")),N(K823)+1,N(K823))))</f>
        <v>0</v>
      </c>
    </row>
    <row r="825" customFormat="false" ht="15" hidden="false" customHeight="false" outlineLevel="0" collapsed="false">
      <c r="K825" s="24" t="n">
        <f aca="false">IF(Search!$B$3="",0,IF($A825="",N(K824),IF(ISNUMBER(SEARCH(Search!$B$3,$A825&amp;"")),N(K824)+1,N(K824))))</f>
        <v>0</v>
      </c>
    </row>
    <row r="826" customFormat="false" ht="15" hidden="false" customHeight="false" outlineLevel="0" collapsed="false">
      <c r="K826" s="24" t="n">
        <f aca="false">IF(Search!$B$3="",0,IF($A826="",N(K825),IF(ISNUMBER(SEARCH(Search!$B$3,$A826&amp;"")),N(K825)+1,N(K825))))</f>
        <v>0</v>
      </c>
    </row>
    <row r="827" customFormat="false" ht="15" hidden="false" customHeight="false" outlineLevel="0" collapsed="false">
      <c r="K827" s="24" t="n">
        <f aca="false">IF(Search!$B$3="",0,IF($A827="",N(K826),IF(ISNUMBER(SEARCH(Search!$B$3,$A827&amp;"")),N(K826)+1,N(K826))))</f>
        <v>0</v>
      </c>
    </row>
    <row r="828" customFormat="false" ht="15" hidden="false" customHeight="false" outlineLevel="0" collapsed="false">
      <c r="K828" s="24" t="n">
        <f aca="false">IF(Search!$B$3="",0,IF($A828="",N(K827),IF(ISNUMBER(SEARCH(Search!$B$3,$A828&amp;"")),N(K827)+1,N(K827))))</f>
        <v>0</v>
      </c>
    </row>
    <row r="829" customFormat="false" ht="15" hidden="false" customHeight="false" outlineLevel="0" collapsed="false">
      <c r="K829" s="24" t="n">
        <f aca="false">IF(Search!$B$3="",0,IF($A829="",N(K828),IF(ISNUMBER(SEARCH(Search!$B$3,$A829&amp;"")),N(K828)+1,N(K828))))</f>
        <v>0</v>
      </c>
    </row>
    <row r="830" customFormat="false" ht="15" hidden="false" customHeight="false" outlineLevel="0" collapsed="false">
      <c r="K830" s="24" t="n">
        <f aca="false">IF(Search!$B$3="",0,IF($A830="",N(K829),IF(ISNUMBER(SEARCH(Search!$B$3,$A830&amp;"")),N(K829)+1,N(K829))))</f>
        <v>0</v>
      </c>
    </row>
    <row r="831" customFormat="false" ht="15" hidden="false" customHeight="false" outlineLevel="0" collapsed="false">
      <c r="K831" s="24" t="n">
        <f aca="false">IF(Search!$B$3="",0,IF($A831="",N(K830),IF(ISNUMBER(SEARCH(Search!$B$3,$A831&amp;"")),N(K830)+1,N(K830))))</f>
        <v>0</v>
      </c>
    </row>
    <row r="832" customFormat="false" ht="15" hidden="false" customHeight="false" outlineLevel="0" collapsed="false">
      <c r="K832" s="24" t="n">
        <f aca="false">IF(Search!$B$3="",0,IF($A832="",N(K831),IF(ISNUMBER(SEARCH(Search!$B$3,$A832&amp;"")),N(K831)+1,N(K831))))</f>
        <v>0</v>
      </c>
    </row>
    <row r="833" customFormat="false" ht="15" hidden="false" customHeight="false" outlineLevel="0" collapsed="false">
      <c r="K833" s="24" t="n">
        <f aca="false">IF(Search!$B$3="",0,IF($A833="",N(K832),IF(ISNUMBER(SEARCH(Search!$B$3,$A833&amp;"")),N(K832)+1,N(K832))))</f>
        <v>0</v>
      </c>
    </row>
    <row r="834" customFormat="false" ht="15" hidden="false" customHeight="false" outlineLevel="0" collapsed="false">
      <c r="K834" s="24" t="n">
        <f aca="false">IF(Search!$B$3="",0,IF($A834="",N(K833),IF(ISNUMBER(SEARCH(Search!$B$3,$A834&amp;"")),N(K833)+1,N(K833))))</f>
        <v>0</v>
      </c>
    </row>
    <row r="835" customFormat="false" ht="15" hidden="false" customHeight="false" outlineLevel="0" collapsed="false">
      <c r="K835" s="24" t="n">
        <f aca="false">IF(Search!$B$3="",0,IF($A835="",N(K834),IF(ISNUMBER(SEARCH(Search!$B$3,$A835&amp;"")),N(K834)+1,N(K834))))</f>
        <v>0</v>
      </c>
    </row>
    <row r="836" customFormat="false" ht="15" hidden="false" customHeight="false" outlineLevel="0" collapsed="false">
      <c r="K836" s="24" t="n">
        <f aca="false">IF(Search!$B$3="",0,IF($A836="",N(K835),IF(ISNUMBER(SEARCH(Search!$B$3,$A836&amp;"")),N(K835)+1,N(K835))))</f>
        <v>0</v>
      </c>
    </row>
    <row r="837" customFormat="false" ht="15" hidden="false" customHeight="false" outlineLevel="0" collapsed="false">
      <c r="K837" s="24" t="n">
        <f aca="false">IF(Search!$B$3="",0,IF($A837="",N(K836),IF(ISNUMBER(SEARCH(Search!$B$3,$A837&amp;"")),N(K836)+1,N(K836))))</f>
        <v>0</v>
      </c>
    </row>
    <row r="838" customFormat="false" ht="15" hidden="false" customHeight="false" outlineLevel="0" collapsed="false">
      <c r="K838" s="24" t="n">
        <f aca="false">IF(Search!$B$3="",0,IF($A838="",N(K837),IF(ISNUMBER(SEARCH(Search!$B$3,$A838&amp;"")),N(K837)+1,N(K837))))</f>
        <v>0</v>
      </c>
    </row>
    <row r="839" customFormat="false" ht="15" hidden="false" customHeight="false" outlineLevel="0" collapsed="false">
      <c r="K839" s="24" t="n">
        <f aca="false">IF(Search!$B$3="",0,IF($A839="",N(K838),IF(ISNUMBER(SEARCH(Search!$B$3,$A839&amp;"")),N(K838)+1,N(K838))))</f>
        <v>0</v>
      </c>
    </row>
    <row r="840" customFormat="false" ht="15" hidden="false" customHeight="false" outlineLevel="0" collapsed="false">
      <c r="K840" s="24" t="n">
        <f aca="false">IF(Search!$B$3="",0,IF($A840="",N(K839),IF(ISNUMBER(SEARCH(Search!$B$3,$A840&amp;"")),N(K839)+1,N(K839))))</f>
        <v>0</v>
      </c>
    </row>
    <row r="841" customFormat="false" ht="15" hidden="false" customHeight="false" outlineLevel="0" collapsed="false">
      <c r="K841" s="24" t="n">
        <f aca="false">IF(Search!$B$3="",0,IF($A841="",N(K840),IF(ISNUMBER(SEARCH(Search!$B$3,$A841&amp;"")),N(K840)+1,N(K840))))</f>
        <v>0</v>
      </c>
    </row>
    <row r="842" customFormat="false" ht="15" hidden="false" customHeight="false" outlineLevel="0" collapsed="false">
      <c r="K842" s="24" t="n">
        <f aca="false">IF(Search!$B$3="",0,IF($A842="",N(K841),IF(ISNUMBER(SEARCH(Search!$B$3,$A842&amp;"")),N(K841)+1,N(K841))))</f>
        <v>0</v>
      </c>
    </row>
    <row r="843" customFormat="false" ht="15" hidden="false" customHeight="false" outlineLevel="0" collapsed="false">
      <c r="K843" s="24" t="n">
        <f aca="false">IF(Search!$B$3="",0,IF($A843="",N(K842),IF(ISNUMBER(SEARCH(Search!$B$3,$A843&amp;"")),N(K842)+1,N(K842))))</f>
        <v>0</v>
      </c>
    </row>
    <row r="844" customFormat="false" ht="15" hidden="false" customHeight="false" outlineLevel="0" collapsed="false">
      <c r="K844" s="24" t="n">
        <f aca="false">IF(Search!$B$3="",0,IF($A844="",N(K843),IF(ISNUMBER(SEARCH(Search!$B$3,$A844&amp;"")),N(K843)+1,N(K843))))</f>
        <v>0</v>
      </c>
    </row>
    <row r="845" customFormat="false" ht="15" hidden="false" customHeight="false" outlineLevel="0" collapsed="false">
      <c r="K845" s="24" t="n">
        <f aca="false">IF(Search!$B$3="",0,IF($A845="",N(K844),IF(ISNUMBER(SEARCH(Search!$B$3,$A845&amp;"")),N(K844)+1,N(K844))))</f>
        <v>0</v>
      </c>
    </row>
    <row r="846" customFormat="false" ht="15" hidden="false" customHeight="false" outlineLevel="0" collapsed="false">
      <c r="K846" s="24" t="n">
        <f aca="false">IF(Search!$B$3="",0,IF($A846="",N(K845),IF(ISNUMBER(SEARCH(Search!$B$3,$A846&amp;"")),N(K845)+1,N(K845))))</f>
        <v>0</v>
      </c>
    </row>
    <row r="847" customFormat="false" ht="15" hidden="false" customHeight="false" outlineLevel="0" collapsed="false">
      <c r="K847" s="24" t="n">
        <f aca="false">IF(Search!$B$3="",0,IF($A847="",N(K846),IF(ISNUMBER(SEARCH(Search!$B$3,$A847&amp;"")),N(K846)+1,N(K846))))</f>
        <v>0</v>
      </c>
    </row>
    <row r="848" customFormat="false" ht="15" hidden="false" customHeight="false" outlineLevel="0" collapsed="false">
      <c r="K848" s="24" t="n">
        <f aca="false">IF(Search!$B$3="",0,IF($A848="",N(K847),IF(ISNUMBER(SEARCH(Search!$B$3,$A848&amp;"")),N(K847)+1,N(K847))))</f>
        <v>0</v>
      </c>
    </row>
    <row r="849" customFormat="false" ht="15" hidden="false" customHeight="false" outlineLevel="0" collapsed="false">
      <c r="K849" s="24" t="n">
        <f aca="false">IF(Search!$B$3="",0,IF($A849="",N(K848),IF(ISNUMBER(SEARCH(Search!$B$3,$A849&amp;"")),N(K848)+1,N(K848))))</f>
        <v>0</v>
      </c>
    </row>
    <row r="850" customFormat="false" ht="15" hidden="false" customHeight="false" outlineLevel="0" collapsed="false">
      <c r="K850" s="24" t="n">
        <f aca="false">IF(Search!$B$3="",0,IF($A850="",N(K849),IF(ISNUMBER(SEARCH(Search!$B$3,$A850&amp;"")),N(K849)+1,N(K849))))</f>
        <v>0</v>
      </c>
    </row>
    <row r="851" customFormat="false" ht="15" hidden="false" customHeight="false" outlineLevel="0" collapsed="false">
      <c r="K851" s="24" t="n">
        <f aca="false">IF(Search!$B$3="",0,IF($A851="",N(K850),IF(ISNUMBER(SEARCH(Search!$B$3,$A851&amp;"")),N(K850)+1,N(K850))))</f>
        <v>0</v>
      </c>
    </row>
    <row r="852" customFormat="false" ht="15" hidden="false" customHeight="false" outlineLevel="0" collapsed="false">
      <c r="K852" s="24" t="n">
        <f aca="false">IF(Search!$B$3="",0,IF($A852="",N(K851),IF(ISNUMBER(SEARCH(Search!$B$3,$A852&amp;"")),N(K851)+1,N(K851))))</f>
        <v>0</v>
      </c>
    </row>
    <row r="853" customFormat="false" ht="15" hidden="false" customHeight="false" outlineLevel="0" collapsed="false">
      <c r="K853" s="24" t="n">
        <f aca="false">IF(Search!$B$3="",0,IF($A853="",N(K852),IF(ISNUMBER(SEARCH(Search!$B$3,$A853&amp;"")),N(K852)+1,N(K852))))</f>
        <v>0</v>
      </c>
    </row>
    <row r="854" customFormat="false" ht="15" hidden="false" customHeight="false" outlineLevel="0" collapsed="false">
      <c r="K854" s="24" t="n">
        <f aca="false">IF(Search!$B$3="",0,IF($A854="",N(K853),IF(ISNUMBER(SEARCH(Search!$B$3,$A854&amp;"")),N(K853)+1,N(K853))))</f>
        <v>0</v>
      </c>
    </row>
    <row r="855" customFormat="false" ht="15" hidden="false" customHeight="false" outlineLevel="0" collapsed="false">
      <c r="K855" s="24" t="n">
        <f aca="false">IF(Search!$B$3="",0,IF($A855="",N(K854),IF(ISNUMBER(SEARCH(Search!$B$3,$A855&amp;"")),N(K854)+1,N(K854))))</f>
        <v>0</v>
      </c>
    </row>
    <row r="856" customFormat="false" ht="15" hidden="false" customHeight="false" outlineLevel="0" collapsed="false">
      <c r="K856" s="24" t="n">
        <f aca="false">IF(Search!$B$3="",0,IF($A856="",N(K855),IF(ISNUMBER(SEARCH(Search!$B$3,$A856&amp;"")),N(K855)+1,N(K855))))</f>
        <v>0</v>
      </c>
    </row>
    <row r="857" customFormat="false" ht="15" hidden="false" customHeight="false" outlineLevel="0" collapsed="false">
      <c r="K857" s="24" t="n">
        <f aca="false">IF(Search!$B$3="",0,IF($A857="",N(K856),IF(ISNUMBER(SEARCH(Search!$B$3,$A857&amp;"")),N(K856)+1,N(K856))))</f>
        <v>0</v>
      </c>
    </row>
    <row r="858" customFormat="false" ht="15" hidden="false" customHeight="false" outlineLevel="0" collapsed="false">
      <c r="K858" s="24" t="n">
        <f aca="false">IF(Search!$B$3="",0,IF($A858="",N(K857),IF(ISNUMBER(SEARCH(Search!$B$3,$A858&amp;"")),N(K857)+1,N(K857))))</f>
        <v>0</v>
      </c>
    </row>
    <row r="859" customFormat="false" ht="15" hidden="false" customHeight="false" outlineLevel="0" collapsed="false">
      <c r="K859" s="24" t="n">
        <f aca="false">IF(Search!$B$3="",0,IF($A859="",N(K858),IF(ISNUMBER(SEARCH(Search!$B$3,$A859&amp;"")),N(K858)+1,N(K858))))</f>
        <v>0</v>
      </c>
    </row>
    <row r="860" customFormat="false" ht="15" hidden="false" customHeight="false" outlineLevel="0" collapsed="false">
      <c r="K860" s="24" t="n">
        <f aca="false">IF(Search!$B$3="",0,IF($A860="",N(K859),IF(ISNUMBER(SEARCH(Search!$B$3,$A860&amp;"")),N(K859)+1,N(K859))))</f>
        <v>0</v>
      </c>
    </row>
    <row r="861" customFormat="false" ht="15" hidden="false" customHeight="false" outlineLevel="0" collapsed="false">
      <c r="K861" s="24" t="n">
        <f aca="false">IF(Search!$B$3="",0,IF($A861="",N(K860),IF(ISNUMBER(SEARCH(Search!$B$3,$A861&amp;"")),N(K860)+1,N(K860))))</f>
        <v>0</v>
      </c>
    </row>
    <row r="862" customFormat="false" ht="15" hidden="false" customHeight="false" outlineLevel="0" collapsed="false">
      <c r="K862" s="24" t="n">
        <f aca="false">IF(Search!$B$3="",0,IF($A862="",N(K861),IF(ISNUMBER(SEARCH(Search!$B$3,$A862&amp;"")),N(K861)+1,N(K861))))</f>
        <v>0</v>
      </c>
    </row>
    <row r="863" customFormat="false" ht="15" hidden="false" customHeight="false" outlineLevel="0" collapsed="false">
      <c r="K863" s="24" t="n">
        <f aca="false">IF(Search!$B$3="",0,IF($A863="",N(K862),IF(ISNUMBER(SEARCH(Search!$B$3,$A863&amp;"")),N(K862)+1,N(K862))))</f>
        <v>0</v>
      </c>
    </row>
    <row r="864" customFormat="false" ht="15" hidden="false" customHeight="false" outlineLevel="0" collapsed="false">
      <c r="K864" s="24" t="n">
        <f aca="false">IF(Search!$B$3="",0,IF($A864="",N(K863),IF(ISNUMBER(SEARCH(Search!$B$3,$A864&amp;"")),N(K863)+1,N(K863))))</f>
        <v>0</v>
      </c>
    </row>
    <row r="865" customFormat="false" ht="15" hidden="false" customHeight="false" outlineLevel="0" collapsed="false">
      <c r="K865" s="24" t="n">
        <f aca="false">IF(Search!$B$3="",0,IF($A865="",N(K864),IF(ISNUMBER(SEARCH(Search!$B$3,$A865&amp;"")),N(K864)+1,N(K864))))</f>
        <v>0</v>
      </c>
    </row>
    <row r="866" customFormat="false" ht="15" hidden="false" customHeight="false" outlineLevel="0" collapsed="false">
      <c r="K866" s="24" t="n">
        <f aca="false">IF(Search!$B$3="",0,IF($A866="",N(K865),IF(ISNUMBER(SEARCH(Search!$B$3,$A866&amp;"")),N(K865)+1,N(K865))))</f>
        <v>0</v>
      </c>
    </row>
    <row r="867" customFormat="false" ht="15" hidden="false" customHeight="false" outlineLevel="0" collapsed="false">
      <c r="K867" s="24" t="n">
        <f aca="false">IF(Search!$B$3="",0,IF($A867="",N(K866),IF(ISNUMBER(SEARCH(Search!$B$3,$A867&amp;"")),N(K866)+1,N(K866))))</f>
        <v>0</v>
      </c>
    </row>
    <row r="868" customFormat="false" ht="15" hidden="false" customHeight="false" outlineLevel="0" collapsed="false">
      <c r="K868" s="24" t="n">
        <f aca="false">IF(Search!$B$3="",0,IF($A868="",N(K867),IF(ISNUMBER(SEARCH(Search!$B$3,$A868&amp;"")),N(K867)+1,N(K867))))</f>
        <v>0</v>
      </c>
    </row>
    <row r="869" customFormat="false" ht="15" hidden="false" customHeight="false" outlineLevel="0" collapsed="false">
      <c r="K869" s="24" t="n">
        <f aca="false">IF(Search!$B$3="",0,IF($A869="",N(K868),IF(ISNUMBER(SEARCH(Search!$B$3,$A869&amp;"")),N(K868)+1,N(K868))))</f>
        <v>0</v>
      </c>
    </row>
    <row r="870" customFormat="false" ht="15" hidden="false" customHeight="false" outlineLevel="0" collapsed="false">
      <c r="K870" s="24" t="n">
        <f aca="false">IF(Search!$B$3="",0,IF($A870="",N(K869),IF(ISNUMBER(SEARCH(Search!$B$3,$A870&amp;"")),N(K869)+1,N(K869))))</f>
        <v>0</v>
      </c>
    </row>
    <row r="871" customFormat="false" ht="15" hidden="false" customHeight="false" outlineLevel="0" collapsed="false">
      <c r="K871" s="24" t="n">
        <f aca="false">IF(Search!$B$3="",0,IF($A871="",N(K870),IF(ISNUMBER(SEARCH(Search!$B$3,$A871&amp;"")),N(K870)+1,N(K870))))</f>
        <v>0</v>
      </c>
    </row>
    <row r="872" customFormat="false" ht="15" hidden="false" customHeight="false" outlineLevel="0" collapsed="false">
      <c r="K872" s="24" t="n">
        <f aca="false">IF(Search!$B$3="",0,IF($A872="",N(K871),IF(ISNUMBER(SEARCH(Search!$B$3,$A872&amp;"")),N(K871)+1,N(K871))))</f>
        <v>0</v>
      </c>
    </row>
    <row r="873" customFormat="false" ht="15" hidden="false" customHeight="false" outlineLevel="0" collapsed="false">
      <c r="K873" s="24" t="n">
        <f aca="false">IF(Search!$B$3="",0,IF($A873="",N(K872),IF(ISNUMBER(SEARCH(Search!$B$3,$A873&amp;"")),N(K872)+1,N(K872))))</f>
        <v>0</v>
      </c>
    </row>
    <row r="874" customFormat="false" ht="15" hidden="false" customHeight="false" outlineLevel="0" collapsed="false">
      <c r="K874" s="24" t="n">
        <f aca="false">IF(Search!$B$3="",0,IF($A874="",N(K873),IF(ISNUMBER(SEARCH(Search!$B$3,$A874&amp;"")),N(K873)+1,N(K873))))</f>
        <v>0</v>
      </c>
    </row>
    <row r="875" customFormat="false" ht="15" hidden="false" customHeight="false" outlineLevel="0" collapsed="false">
      <c r="K875" s="24" t="n">
        <f aca="false">IF(Search!$B$3="",0,IF($A875="",N(K874),IF(ISNUMBER(SEARCH(Search!$B$3,$A875&amp;"")),N(K874)+1,N(K874))))</f>
        <v>0</v>
      </c>
    </row>
    <row r="876" customFormat="false" ht="15" hidden="false" customHeight="false" outlineLevel="0" collapsed="false">
      <c r="K876" s="24" t="n">
        <f aca="false">IF(Search!$B$3="",0,IF($A876="",N(K875),IF(ISNUMBER(SEARCH(Search!$B$3,$A876&amp;"")),N(K875)+1,N(K875))))</f>
        <v>0</v>
      </c>
    </row>
    <row r="877" customFormat="false" ht="15" hidden="false" customHeight="false" outlineLevel="0" collapsed="false">
      <c r="K877" s="24" t="n">
        <f aca="false">IF(Search!$B$3="",0,IF($A877="",N(K876),IF(ISNUMBER(SEARCH(Search!$B$3,$A877&amp;"")),N(K876)+1,N(K876))))</f>
        <v>0</v>
      </c>
    </row>
    <row r="878" customFormat="false" ht="15" hidden="false" customHeight="false" outlineLevel="0" collapsed="false">
      <c r="K878" s="24" t="n">
        <f aca="false">IF(Search!$B$3="",0,IF($A878="",N(K877),IF(ISNUMBER(SEARCH(Search!$B$3,$A878&amp;"")),N(K877)+1,N(K877))))</f>
        <v>0</v>
      </c>
    </row>
    <row r="879" customFormat="false" ht="15" hidden="false" customHeight="false" outlineLevel="0" collapsed="false">
      <c r="K879" s="24" t="n">
        <f aca="false">IF(Search!$B$3="",0,IF($A879="",N(K878),IF(ISNUMBER(SEARCH(Search!$B$3,$A879&amp;"")),N(K878)+1,N(K878))))</f>
        <v>0</v>
      </c>
    </row>
    <row r="880" customFormat="false" ht="15" hidden="false" customHeight="false" outlineLevel="0" collapsed="false">
      <c r="K880" s="24" t="n">
        <f aca="false">IF(Search!$B$3="",0,IF($A880="",N(K879),IF(ISNUMBER(SEARCH(Search!$B$3,$A880&amp;"")),N(K879)+1,N(K879))))</f>
        <v>0</v>
      </c>
    </row>
    <row r="881" customFormat="false" ht="15" hidden="false" customHeight="false" outlineLevel="0" collapsed="false">
      <c r="K881" s="24" t="n">
        <f aca="false">IF(Search!$B$3="",0,IF($A881="",N(K880),IF(ISNUMBER(SEARCH(Search!$B$3,$A881&amp;"")),N(K880)+1,N(K880))))</f>
        <v>0</v>
      </c>
    </row>
    <row r="882" customFormat="false" ht="15" hidden="false" customHeight="false" outlineLevel="0" collapsed="false">
      <c r="K882" s="24" t="n">
        <f aca="false">IF(Search!$B$3="",0,IF($A882="",N(K881),IF(ISNUMBER(SEARCH(Search!$B$3,$A882&amp;"")),N(K881)+1,N(K881))))</f>
        <v>0</v>
      </c>
    </row>
    <row r="883" customFormat="false" ht="15" hidden="false" customHeight="false" outlineLevel="0" collapsed="false">
      <c r="K883" s="24" t="n">
        <f aca="false">IF(Search!$B$3="",0,IF($A883="",N(K882),IF(ISNUMBER(SEARCH(Search!$B$3,$A883&amp;"")),N(K882)+1,N(K882))))</f>
        <v>0</v>
      </c>
    </row>
    <row r="884" customFormat="false" ht="15" hidden="false" customHeight="false" outlineLevel="0" collapsed="false">
      <c r="K884" s="24" t="n">
        <f aca="false">IF(Search!$B$3="",0,IF($A884="",N(K883),IF(ISNUMBER(SEARCH(Search!$B$3,$A884&amp;"")),N(K883)+1,N(K883))))</f>
        <v>0</v>
      </c>
    </row>
    <row r="885" customFormat="false" ht="15" hidden="false" customHeight="false" outlineLevel="0" collapsed="false">
      <c r="K885" s="24" t="n">
        <f aca="false">IF(Search!$B$3="",0,IF($A885="",N(K884),IF(ISNUMBER(SEARCH(Search!$B$3,$A885&amp;"")),N(K884)+1,N(K884))))</f>
        <v>0</v>
      </c>
    </row>
    <row r="886" customFormat="false" ht="15" hidden="false" customHeight="false" outlineLevel="0" collapsed="false">
      <c r="K886" s="24" t="n">
        <f aca="false">IF(Search!$B$3="",0,IF($A886="",N(K885),IF(ISNUMBER(SEARCH(Search!$B$3,$A886&amp;"")),N(K885)+1,N(K885))))</f>
        <v>0</v>
      </c>
    </row>
    <row r="887" customFormat="false" ht="15" hidden="false" customHeight="false" outlineLevel="0" collapsed="false">
      <c r="K887" s="24" t="n">
        <f aca="false">IF(Search!$B$3="",0,IF($A887="",N(K886),IF(ISNUMBER(SEARCH(Search!$B$3,$A887&amp;"")),N(K886)+1,N(K886))))</f>
        <v>0</v>
      </c>
    </row>
    <row r="888" customFormat="false" ht="15" hidden="false" customHeight="false" outlineLevel="0" collapsed="false">
      <c r="K888" s="24" t="n">
        <f aca="false">IF(Search!$B$3="",0,IF($A888="",N(K887),IF(ISNUMBER(SEARCH(Search!$B$3,$A888&amp;"")),N(K887)+1,N(K887))))</f>
        <v>0</v>
      </c>
    </row>
    <row r="889" customFormat="false" ht="15" hidden="false" customHeight="false" outlineLevel="0" collapsed="false">
      <c r="K889" s="24" t="n">
        <f aca="false">IF(Search!$B$3="",0,IF($A889="",N(K888),IF(ISNUMBER(SEARCH(Search!$B$3,$A889&amp;"")),N(K888)+1,N(K888))))</f>
        <v>0</v>
      </c>
    </row>
    <row r="890" customFormat="false" ht="15" hidden="false" customHeight="false" outlineLevel="0" collapsed="false">
      <c r="K890" s="24" t="n">
        <f aca="false">IF(Search!$B$3="",0,IF($A890="",N(K889),IF(ISNUMBER(SEARCH(Search!$B$3,$A890&amp;"")),N(K889)+1,N(K889))))</f>
        <v>0</v>
      </c>
    </row>
    <row r="891" customFormat="false" ht="15" hidden="false" customHeight="false" outlineLevel="0" collapsed="false">
      <c r="K891" s="24" t="n">
        <f aca="false">IF(Search!$B$3="",0,IF($A891="",N(K890),IF(ISNUMBER(SEARCH(Search!$B$3,$A891&amp;"")),N(K890)+1,N(K890))))</f>
        <v>0</v>
      </c>
    </row>
    <row r="892" customFormat="false" ht="15" hidden="false" customHeight="false" outlineLevel="0" collapsed="false">
      <c r="K892" s="24" t="n">
        <f aca="false">IF(Search!$B$3="",0,IF($A892="",N(K891),IF(ISNUMBER(SEARCH(Search!$B$3,$A892&amp;"")),N(K891)+1,N(K891))))</f>
        <v>0</v>
      </c>
    </row>
    <row r="893" customFormat="false" ht="15" hidden="false" customHeight="false" outlineLevel="0" collapsed="false">
      <c r="K893" s="24" t="n">
        <f aca="false">IF(Search!$B$3="",0,IF($A893="",N(K892),IF(ISNUMBER(SEARCH(Search!$B$3,$A893&amp;"")),N(K892)+1,N(K892))))</f>
        <v>0</v>
      </c>
    </row>
    <row r="894" customFormat="false" ht="15" hidden="false" customHeight="false" outlineLevel="0" collapsed="false">
      <c r="K894" s="24" t="n">
        <f aca="false">IF(Search!$B$3="",0,IF($A894="",N(K893),IF(ISNUMBER(SEARCH(Search!$B$3,$A894&amp;"")),N(K893)+1,N(K893))))</f>
        <v>0</v>
      </c>
    </row>
    <row r="895" customFormat="false" ht="15" hidden="false" customHeight="false" outlineLevel="0" collapsed="false">
      <c r="K895" s="24" t="n">
        <f aca="false">IF(Search!$B$3="",0,IF($A895="",N(K894),IF(ISNUMBER(SEARCH(Search!$B$3,$A895&amp;"")),N(K894)+1,N(K894))))</f>
        <v>0</v>
      </c>
    </row>
    <row r="896" customFormat="false" ht="15" hidden="false" customHeight="false" outlineLevel="0" collapsed="false">
      <c r="K896" s="24" t="n">
        <f aca="false">IF(Search!$B$3="",0,IF($A896="",N(K895),IF(ISNUMBER(SEARCH(Search!$B$3,$A896&amp;"")),N(K895)+1,N(K895))))</f>
        <v>0</v>
      </c>
    </row>
    <row r="897" customFormat="false" ht="15" hidden="false" customHeight="false" outlineLevel="0" collapsed="false">
      <c r="K897" s="24" t="n">
        <f aca="false">IF(Search!$B$3="",0,IF($A897="",N(K896),IF(ISNUMBER(SEARCH(Search!$B$3,$A897&amp;"")),N(K896)+1,N(K896))))</f>
        <v>0</v>
      </c>
    </row>
    <row r="898" customFormat="false" ht="15" hidden="false" customHeight="false" outlineLevel="0" collapsed="false">
      <c r="K898" s="24" t="n">
        <f aca="false">IF(Search!$B$3="",0,IF($A898="",N(K897),IF(ISNUMBER(SEARCH(Search!$B$3,$A898&amp;"")),N(K897)+1,N(K897))))</f>
        <v>0</v>
      </c>
    </row>
    <row r="899" customFormat="false" ht="15" hidden="false" customHeight="false" outlineLevel="0" collapsed="false">
      <c r="K899" s="24" t="n">
        <f aca="false">IF(Search!$B$3="",0,IF($A899="",N(K898),IF(ISNUMBER(SEARCH(Search!$B$3,$A899&amp;"")),N(K898)+1,N(K898))))</f>
        <v>0</v>
      </c>
    </row>
    <row r="900" customFormat="false" ht="15" hidden="false" customHeight="false" outlineLevel="0" collapsed="false">
      <c r="K900" s="24" t="n">
        <f aca="false">IF(Search!$B$3="",0,IF($A900="",N(K899),IF(ISNUMBER(SEARCH(Search!$B$3,$A900&amp;"")),N(K899)+1,N(K899))))</f>
        <v>0</v>
      </c>
    </row>
    <row r="901" customFormat="false" ht="15" hidden="false" customHeight="false" outlineLevel="0" collapsed="false">
      <c r="K901" s="24" t="n">
        <f aca="false">IF(Search!$B$3="",0,IF($A901="",N(K900),IF(ISNUMBER(SEARCH(Search!$B$3,$A901&amp;"")),N(K900)+1,N(K900))))</f>
        <v>0</v>
      </c>
    </row>
    <row r="902" customFormat="false" ht="15" hidden="false" customHeight="false" outlineLevel="0" collapsed="false">
      <c r="K902" s="24" t="n">
        <f aca="false">IF(Search!$B$3="",0,IF($A902="",N(K901),IF(ISNUMBER(SEARCH(Search!$B$3,$A902&amp;"")),N(K901)+1,N(K901))))</f>
        <v>0</v>
      </c>
    </row>
    <row r="903" customFormat="false" ht="15" hidden="false" customHeight="false" outlineLevel="0" collapsed="false">
      <c r="K903" s="24" t="n">
        <f aca="false">IF(Search!$B$3="",0,IF($A903="",N(K902),IF(ISNUMBER(SEARCH(Search!$B$3,$A903&amp;"")),N(K902)+1,N(K902))))</f>
        <v>0</v>
      </c>
    </row>
    <row r="904" customFormat="false" ht="15" hidden="false" customHeight="false" outlineLevel="0" collapsed="false">
      <c r="K904" s="24" t="n">
        <f aca="false">IF(Search!$B$3="",0,IF($A904="",N(K903),IF(ISNUMBER(SEARCH(Search!$B$3,$A904&amp;"")),N(K903)+1,N(K903))))</f>
        <v>0</v>
      </c>
    </row>
    <row r="905" customFormat="false" ht="15" hidden="false" customHeight="false" outlineLevel="0" collapsed="false">
      <c r="K905" s="24" t="n">
        <f aca="false">IF(Search!$B$3="",0,IF($A905="",N(K904),IF(ISNUMBER(SEARCH(Search!$B$3,$A905&amp;"")),N(K904)+1,N(K904))))</f>
        <v>0</v>
      </c>
    </row>
    <row r="906" customFormat="false" ht="15" hidden="false" customHeight="false" outlineLevel="0" collapsed="false">
      <c r="K906" s="24" t="n">
        <f aca="false">IF(Search!$B$3="",0,IF($A906="",N(K905),IF(ISNUMBER(SEARCH(Search!$B$3,$A906&amp;"")),N(K905)+1,N(K905))))</f>
        <v>0</v>
      </c>
    </row>
    <row r="907" customFormat="false" ht="15" hidden="false" customHeight="false" outlineLevel="0" collapsed="false">
      <c r="K907" s="24" t="n">
        <f aca="false">IF(Search!$B$3="",0,IF($A907="",N(K906),IF(ISNUMBER(SEARCH(Search!$B$3,$A907&amp;"")),N(K906)+1,N(K906))))</f>
        <v>0</v>
      </c>
    </row>
    <row r="908" customFormat="false" ht="15" hidden="false" customHeight="false" outlineLevel="0" collapsed="false">
      <c r="K908" s="24" t="n">
        <f aca="false">IF(Search!$B$3="",0,IF($A908="",N(K907),IF(ISNUMBER(SEARCH(Search!$B$3,$A908&amp;"")),N(K907)+1,N(K907))))</f>
        <v>0</v>
      </c>
    </row>
    <row r="909" customFormat="false" ht="15" hidden="false" customHeight="false" outlineLevel="0" collapsed="false">
      <c r="K909" s="24" t="n">
        <f aca="false">IF(Search!$B$3="",0,IF($A909="",N(K908),IF(ISNUMBER(SEARCH(Search!$B$3,$A909&amp;"")),N(K908)+1,N(K908))))</f>
        <v>0</v>
      </c>
    </row>
    <row r="910" customFormat="false" ht="15" hidden="false" customHeight="false" outlineLevel="0" collapsed="false">
      <c r="K910" s="24" t="n">
        <f aca="false">IF(Search!$B$3="",0,IF($A910="",N(K909),IF(ISNUMBER(SEARCH(Search!$B$3,$A910&amp;"")),N(K909)+1,N(K909))))</f>
        <v>0</v>
      </c>
    </row>
    <row r="911" customFormat="false" ht="15" hidden="false" customHeight="false" outlineLevel="0" collapsed="false">
      <c r="K911" s="24" t="n">
        <f aca="false">IF(Search!$B$3="",0,IF($A911="",N(K910),IF(ISNUMBER(SEARCH(Search!$B$3,$A911&amp;"")),N(K910)+1,N(K910))))</f>
        <v>0</v>
      </c>
    </row>
    <row r="912" customFormat="false" ht="15" hidden="false" customHeight="false" outlineLevel="0" collapsed="false">
      <c r="K912" s="24" t="n">
        <f aca="false">IF(Search!$B$3="",0,IF($A912="",N(K911),IF(ISNUMBER(SEARCH(Search!$B$3,$A912&amp;"")),N(K911)+1,N(K911))))</f>
        <v>0</v>
      </c>
    </row>
    <row r="913" customFormat="false" ht="15" hidden="false" customHeight="false" outlineLevel="0" collapsed="false">
      <c r="K913" s="24" t="n">
        <f aca="false">IF(Search!$B$3="",0,IF($A913="",N(K912),IF(ISNUMBER(SEARCH(Search!$B$3,$A913&amp;"")),N(K912)+1,N(K912))))</f>
        <v>0</v>
      </c>
    </row>
    <row r="914" customFormat="false" ht="15" hidden="false" customHeight="false" outlineLevel="0" collapsed="false">
      <c r="K914" s="24" t="n">
        <f aca="false">IF(Search!$B$3="",0,IF($A914="",N(K913),IF(ISNUMBER(SEARCH(Search!$B$3,$A914&amp;"")),N(K913)+1,N(K913))))</f>
        <v>0</v>
      </c>
    </row>
    <row r="915" customFormat="false" ht="15" hidden="false" customHeight="false" outlineLevel="0" collapsed="false">
      <c r="K915" s="24" t="n">
        <f aca="false">IF(Search!$B$3="",0,IF($A915="",N(K914),IF(ISNUMBER(SEARCH(Search!$B$3,$A915&amp;"")),N(K914)+1,N(K914))))</f>
        <v>0</v>
      </c>
    </row>
    <row r="916" customFormat="false" ht="15" hidden="false" customHeight="false" outlineLevel="0" collapsed="false">
      <c r="K916" s="24" t="n">
        <f aca="false">IF(Search!$B$3="",0,IF($A916="",N(K915),IF(ISNUMBER(SEARCH(Search!$B$3,$A916&amp;"")),N(K915)+1,N(K915))))</f>
        <v>0</v>
      </c>
    </row>
    <row r="917" customFormat="false" ht="15" hidden="false" customHeight="false" outlineLevel="0" collapsed="false">
      <c r="K917" s="24" t="n">
        <f aca="false">IF(Search!$B$3="",0,IF($A917="",N(K916),IF(ISNUMBER(SEARCH(Search!$B$3,$A917&amp;"")),N(K916)+1,N(K916))))</f>
        <v>0</v>
      </c>
    </row>
    <row r="918" customFormat="false" ht="15" hidden="false" customHeight="false" outlineLevel="0" collapsed="false">
      <c r="K918" s="24" t="n">
        <f aca="false">IF(Search!$B$3="",0,IF($A918="",N(K917),IF(ISNUMBER(SEARCH(Search!$B$3,$A918&amp;"")),N(K917)+1,N(K917))))</f>
        <v>0</v>
      </c>
    </row>
    <row r="919" customFormat="false" ht="15" hidden="false" customHeight="false" outlineLevel="0" collapsed="false">
      <c r="K919" s="24" t="n">
        <f aca="false">IF(Search!$B$3="",0,IF($A919="",N(K918),IF(ISNUMBER(SEARCH(Search!$B$3,$A919&amp;"")),N(K918)+1,N(K918))))</f>
        <v>0</v>
      </c>
    </row>
    <row r="920" customFormat="false" ht="15" hidden="false" customHeight="false" outlineLevel="0" collapsed="false">
      <c r="K920" s="24" t="n">
        <f aca="false">IF(Search!$B$3="",0,IF($A920="",N(K919),IF(ISNUMBER(SEARCH(Search!$B$3,$A920&amp;"")),N(K919)+1,N(K919))))</f>
        <v>0</v>
      </c>
    </row>
    <row r="921" customFormat="false" ht="15" hidden="false" customHeight="false" outlineLevel="0" collapsed="false">
      <c r="K921" s="24" t="n">
        <f aca="false">IF(Search!$B$3="",0,IF($A921="",N(K920),IF(ISNUMBER(SEARCH(Search!$B$3,$A921&amp;"")),N(K920)+1,N(K920))))</f>
        <v>0</v>
      </c>
    </row>
    <row r="922" customFormat="false" ht="15" hidden="false" customHeight="false" outlineLevel="0" collapsed="false">
      <c r="K922" s="24" t="n">
        <f aca="false">IF(Search!$B$3="",0,IF($A922="",N(K921),IF(ISNUMBER(SEARCH(Search!$B$3,$A922&amp;"")),N(K921)+1,N(K921))))</f>
        <v>0</v>
      </c>
    </row>
    <row r="923" customFormat="false" ht="15" hidden="false" customHeight="false" outlineLevel="0" collapsed="false">
      <c r="K923" s="24" t="n">
        <f aca="false">IF(Search!$B$3="",0,IF($A923="",N(K922),IF(ISNUMBER(SEARCH(Search!$B$3,$A923&amp;"")),N(K922)+1,N(K922))))</f>
        <v>0</v>
      </c>
    </row>
    <row r="924" customFormat="false" ht="15" hidden="false" customHeight="false" outlineLevel="0" collapsed="false">
      <c r="K924" s="24" t="n">
        <f aca="false">IF(Search!$B$3="",0,IF($A924="",N(K923),IF(ISNUMBER(SEARCH(Search!$B$3,$A924&amp;"")),N(K923)+1,N(K923))))</f>
        <v>0</v>
      </c>
    </row>
    <row r="925" customFormat="false" ht="15" hidden="false" customHeight="false" outlineLevel="0" collapsed="false">
      <c r="K925" s="24" t="n">
        <f aca="false">IF(Search!$B$3="",0,IF($A925="",N(K924),IF(ISNUMBER(SEARCH(Search!$B$3,$A925&amp;"")),N(K924)+1,N(K924))))</f>
        <v>0</v>
      </c>
    </row>
    <row r="926" customFormat="false" ht="15" hidden="false" customHeight="false" outlineLevel="0" collapsed="false">
      <c r="K926" s="24" t="n">
        <f aca="false">IF(Search!$B$3="",0,IF($A926="",N(K925),IF(ISNUMBER(SEARCH(Search!$B$3,$A926&amp;"")),N(K925)+1,N(K925))))</f>
        <v>0</v>
      </c>
    </row>
    <row r="927" customFormat="false" ht="15" hidden="false" customHeight="false" outlineLevel="0" collapsed="false">
      <c r="K927" s="24" t="n">
        <f aca="false">IF(Search!$B$3="",0,IF($A927="",N(K926),IF(ISNUMBER(SEARCH(Search!$B$3,$A927&amp;"")),N(K926)+1,N(K926))))</f>
        <v>0</v>
      </c>
    </row>
    <row r="928" customFormat="false" ht="15" hidden="false" customHeight="false" outlineLevel="0" collapsed="false">
      <c r="K928" s="24" t="n">
        <f aca="false">IF(Search!$B$3="",0,IF($A928="",N(K927),IF(ISNUMBER(SEARCH(Search!$B$3,$A928&amp;"")),N(K927)+1,N(K927))))</f>
        <v>0</v>
      </c>
    </row>
    <row r="929" customFormat="false" ht="15" hidden="false" customHeight="false" outlineLevel="0" collapsed="false">
      <c r="K929" s="24" t="n">
        <f aca="false">IF(Search!$B$3="",0,IF($A929="",N(K928),IF(ISNUMBER(SEARCH(Search!$B$3,$A929&amp;"")),N(K928)+1,N(K928))))</f>
        <v>0</v>
      </c>
    </row>
    <row r="930" customFormat="false" ht="15" hidden="false" customHeight="false" outlineLevel="0" collapsed="false">
      <c r="K930" s="24" t="n">
        <f aca="false">IF(Search!$B$3="",0,IF($A930="",N(K929),IF(ISNUMBER(SEARCH(Search!$B$3,$A930&amp;"")),N(K929)+1,N(K929))))</f>
        <v>0</v>
      </c>
    </row>
    <row r="931" customFormat="false" ht="15" hidden="false" customHeight="false" outlineLevel="0" collapsed="false">
      <c r="K931" s="24" t="n">
        <f aca="false">IF(Search!$B$3="",0,IF($A931="",N(K930),IF(ISNUMBER(SEARCH(Search!$B$3,$A931&amp;"")),N(K930)+1,N(K930))))</f>
        <v>0</v>
      </c>
    </row>
    <row r="932" customFormat="false" ht="15" hidden="false" customHeight="false" outlineLevel="0" collapsed="false">
      <c r="K932" s="24" t="n">
        <f aca="false">IF(Search!$B$3="",0,IF($A932="",N(K931),IF(ISNUMBER(SEARCH(Search!$B$3,$A932&amp;"")),N(K931)+1,N(K931))))</f>
        <v>0</v>
      </c>
    </row>
    <row r="933" customFormat="false" ht="15" hidden="false" customHeight="false" outlineLevel="0" collapsed="false">
      <c r="K933" s="24" t="n">
        <f aca="false">IF(Search!$B$3="",0,IF($A933="",N(K932),IF(ISNUMBER(SEARCH(Search!$B$3,$A933&amp;"")),N(K932)+1,N(K932))))</f>
        <v>0</v>
      </c>
    </row>
    <row r="934" customFormat="false" ht="15" hidden="false" customHeight="false" outlineLevel="0" collapsed="false">
      <c r="K934" s="24" t="n">
        <f aca="false">IF(Search!$B$3="",0,IF($A934="",N(K933),IF(ISNUMBER(SEARCH(Search!$B$3,$A934&amp;"")),N(K933)+1,N(K933))))</f>
        <v>0</v>
      </c>
    </row>
    <row r="935" customFormat="false" ht="15" hidden="false" customHeight="false" outlineLevel="0" collapsed="false">
      <c r="K935" s="24" t="n">
        <f aca="false">IF(Search!$B$3="",0,IF($A935="",N(K934),IF(ISNUMBER(SEARCH(Search!$B$3,$A935&amp;"")),N(K934)+1,N(K934))))</f>
        <v>0</v>
      </c>
    </row>
    <row r="936" customFormat="false" ht="15" hidden="false" customHeight="false" outlineLevel="0" collapsed="false">
      <c r="K936" s="24" t="n">
        <f aca="false">IF(Search!$B$3="",0,IF($A936="",N(K935),IF(ISNUMBER(SEARCH(Search!$B$3,$A936&amp;"")),N(K935)+1,N(K935))))</f>
        <v>0</v>
      </c>
    </row>
    <row r="937" customFormat="false" ht="15" hidden="false" customHeight="false" outlineLevel="0" collapsed="false">
      <c r="K937" s="24" t="n">
        <f aca="false">IF(Search!$B$3="",0,IF($A937="",N(K936),IF(ISNUMBER(SEARCH(Search!$B$3,$A937&amp;"")),N(K936)+1,N(K936))))</f>
        <v>0</v>
      </c>
    </row>
    <row r="938" customFormat="false" ht="15" hidden="false" customHeight="false" outlineLevel="0" collapsed="false">
      <c r="K938" s="24" t="n">
        <f aca="false">IF(Search!$B$3="",0,IF($A938="",N(K937),IF(ISNUMBER(SEARCH(Search!$B$3,$A938&amp;"")),N(K937)+1,N(K937))))</f>
        <v>0</v>
      </c>
    </row>
    <row r="939" customFormat="false" ht="15" hidden="false" customHeight="false" outlineLevel="0" collapsed="false">
      <c r="K939" s="24" t="n">
        <f aca="false">IF(Search!$B$3="",0,IF($A939="",N(K938),IF(ISNUMBER(SEARCH(Search!$B$3,$A939&amp;"")),N(K938)+1,N(K938))))</f>
        <v>0</v>
      </c>
    </row>
    <row r="940" customFormat="false" ht="15" hidden="false" customHeight="false" outlineLevel="0" collapsed="false">
      <c r="K940" s="24" t="n">
        <f aca="false">IF(Search!$B$3="",0,IF($A940="",N(K939),IF(ISNUMBER(SEARCH(Search!$B$3,$A940&amp;"")),N(K939)+1,N(K939))))</f>
        <v>0</v>
      </c>
    </row>
    <row r="941" customFormat="false" ht="15" hidden="false" customHeight="false" outlineLevel="0" collapsed="false">
      <c r="K941" s="24" t="n">
        <f aca="false">IF(Search!$B$3="",0,IF($A941="",N(K940),IF(ISNUMBER(SEARCH(Search!$B$3,$A941&amp;"")),N(K940)+1,N(K940))))</f>
        <v>0</v>
      </c>
    </row>
    <row r="942" customFormat="false" ht="15" hidden="false" customHeight="false" outlineLevel="0" collapsed="false">
      <c r="K942" s="24" t="n">
        <f aca="false">IF(Search!$B$3="",0,IF($A942="",N(K941),IF(ISNUMBER(SEARCH(Search!$B$3,$A942&amp;"")),N(K941)+1,N(K941))))</f>
        <v>0</v>
      </c>
    </row>
    <row r="943" customFormat="false" ht="15" hidden="false" customHeight="false" outlineLevel="0" collapsed="false">
      <c r="K943" s="24" t="n">
        <f aca="false">IF(Search!$B$3="",0,IF($A943="",N(K942),IF(ISNUMBER(SEARCH(Search!$B$3,$A943&amp;"")),N(K942)+1,N(K942))))</f>
        <v>0</v>
      </c>
    </row>
    <row r="944" customFormat="false" ht="15" hidden="false" customHeight="false" outlineLevel="0" collapsed="false">
      <c r="K944" s="24" t="n">
        <f aca="false">IF(Search!$B$3="",0,IF($A944="",N(K943),IF(ISNUMBER(SEARCH(Search!$B$3,$A944&amp;"")),N(K943)+1,N(K943))))</f>
        <v>0</v>
      </c>
    </row>
    <row r="945" customFormat="false" ht="15" hidden="false" customHeight="false" outlineLevel="0" collapsed="false">
      <c r="K945" s="24" t="n">
        <f aca="false">IF(Search!$B$3="",0,IF($A945="",N(K944),IF(ISNUMBER(SEARCH(Search!$B$3,$A945&amp;"")),N(K944)+1,N(K944))))</f>
        <v>0</v>
      </c>
    </row>
    <row r="946" customFormat="false" ht="15" hidden="false" customHeight="false" outlineLevel="0" collapsed="false">
      <c r="K946" s="24" t="n">
        <f aca="false">IF(Search!$B$3="",0,IF($A946="",N(K945),IF(ISNUMBER(SEARCH(Search!$B$3,$A946&amp;"")),N(K945)+1,N(K945))))</f>
        <v>0</v>
      </c>
    </row>
    <row r="947" customFormat="false" ht="15" hidden="false" customHeight="false" outlineLevel="0" collapsed="false">
      <c r="K947" s="24" t="n">
        <f aca="false">IF(Search!$B$3="",0,IF($A947="",N(K946),IF(ISNUMBER(SEARCH(Search!$B$3,$A947&amp;"")),N(K946)+1,N(K946))))</f>
        <v>0</v>
      </c>
    </row>
    <row r="948" customFormat="false" ht="15" hidden="false" customHeight="false" outlineLevel="0" collapsed="false">
      <c r="K948" s="24" t="n">
        <f aca="false">IF(Search!$B$3="",0,IF($A948="",N(K947),IF(ISNUMBER(SEARCH(Search!$B$3,$A948&amp;"")),N(K947)+1,N(K947))))</f>
        <v>0</v>
      </c>
    </row>
    <row r="949" customFormat="false" ht="15" hidden="false" customHeight="false" outlineLevel="0" collapsed="false">
      <c r="K949" s="24" t="n">
        <f aca="false">IF(Search!$B$3="",0,IF($A949="",N(K948),IF(ISNUMBER(SEARCH(Search!$B$3,$A949&amp;"")),N(K948)+1,N(K948))))</f>
        <v>0</v>
      </c>
    </row>
    <row r="950" customFormat="false" ht="15" hidden="false" customHeight="false" outlineLevel="0" collapsed="false">
      <c r="K950" s="24" t="n">
        <f aca="false">IF(Search!$B$3="",0,IF($A950="",N(K949),IF(ISNUMBER(SEARCH(Search!$B$3,$A950&amp;"")),N(K949)+1,N(K949))))</f>
        <v>0</v>
      </c>
    </row>
    <row r="951" customFormat="false" ht="15" hidden="false" customHeight="false" outlineLevel="0" collapsed="false">
      <c r="K951" s="24" t="n">
        <f aca="false">IF(Search!$B$3="",0,IF($A951="",N(K950),IF(ISNUMBER(SEARCH(Search!$B$3,$A951&amp;"")),N(K950)+1,N(K950))))</f>
        <v>0</v>
      </c>
    </row>
    <row r="952" customFormat="false" ht="15" hidden="false" customHeight="false" outlineLevel="0" collapsed="false">
      <c r="K952" s="24" t="n">
        <f aca="false">IF(Search!$B$3="",0,IF($A952="",N(K951),IF(ISNUMBER(SEARCH(Search!$B$3,$A952&amp;"")),N(K951)+1,N(K951))))</f>
        <v>0</v>
      </c>
    </row>
    <row r="953" customFormat="false" ht="15" hidden="false" customHeight="false" outlineLevel="0" collapsed="false">
      <c r="K953" s="24" t="n">
        <f aca="false">IF(Search!$B$3="",0,IF($A953="",N(K952),IF(ISNUMBER(SEARCH(Search!$B$3,$A953&amp;"")),N(K952)+1,N(K952))))</f>
        <v>0</v>
      </c>
    </row>
    <row r="954" customFormat="false" ht="15" hidden="false" customHeight="false" outlineLevel="0" collapsed="false">
      <c r="K954" s="24" t="n">
        <f aca="false">IF(Search!$B$3="",0,IF($A954="",N(K953),IF(ISNUMBER(SEARCH(Search!$B$3,$A954&amp;"")),N(K953)+1,N(K953))))</f>
        <v>0</v>
      </c>
    </row>
    <row r="955" customFormat="false" ht="15" hidden="false" customHeight="false" outlineLevel="0" collapsed="false">
      <c r="K955" s="24" t="n">
        <f aca="false">IF(Search!$B$3="",0,IF($A955="",N(K954),IF(ISNUMBER(SEARCH(Search!$B$3,$A955&amp;"")),N(K954)+1,N(K954))))</f>
        <v>0</v>
      </c>
    </row>
    <row r="956" customFormat="false" ht="15" hidden="false" customHeight="false" outlineLevel="0" collapsed="false">
      <c r="K956" s="24" t="n">
        <f aca="false">IF(Search!$B$3="",0,IF($A956="",N(K955),IF(ISNUMBER(SEARCH(Search!$B$3,$A956&amp;"")),N(K955)+1,N(K955))))</f>
        <v>0</v>
      </c>
    </row>
    <row r="957" customFormat="false" ht="15" hidden="false" customHeight="false" outlineLevel="0" collapsed="false">
      <c r="K957" s="24" t="n">
        <f aca="false">IF(Search!$B$3="",0,IF($A957="",N(K956),IF(ISNUMBER(SEARCH(Search!$B$3,$A957&amp;"")),N(K956)+1,N(K956))))</f>
        <v>0</v>
      </c>
    </row>
    <row r="958" customFormat="false" ht="15" hidden="false" customHeight="false" outlineLevel="0" collapsed="false">
      <c r="K958" s="24" t="n">
        <f aca="false">IF(Search!$B$3="",0,IF($A958="",N(K957),IF(ISNUMBER(SEARCH(Search!$B$3,$A958&amp;"")),N(K957)+1,N(K957))))</f>
        <v>0</v>
      </c>
    </row>
    <row r="959" customFormat="false" ht="15" hidden="false" customHeight="false" outlineLevel="0" collapsed="false">
      <c r="K959" s="24" t="n">
        <f aca="false">IF(Search!$B$3="",0,IF($A959="",N(K958),IF(ISNUMBER(SEARCH(Search!$B$3,$A959&amp;"")),N(K958)+1,N(K958))))</f>
        <v>0</v>
      </c>
    </row>
    <row r="960" customFormat="false" ht="15" hidden="false" customHeight="false" outlineLevel="0" collapsed="false">
      <c r="K960" s="24" t="n">
        <f aca="false">IF(Search!$B$3="",0,IF($A960="",N(K959),IF(ISNUMBER(SEARCH(Search!$B$3,$A960&amp;"")),N(K959)+1,N(K959))))</f>
        <v>0</v>
      </c>
    </row>
    <row r="961" customFormat="false" ht="15" hidden="false" customHeight="false" outlineLevel="0" collapsed="false">
      <c r="K961" s="24" t="n">
        <f aca="false">IF(Search!$B$3="",0,IF($A961="",N(K960),IF(ISNUMBER(SEARCH(Search!$B$3,$A961&amp;"")),N(K960)+1,N(K960))))</f>
        <v>0</v>
      </c>
    </row>
    <row r="962" customFormat="false" ht="15" hidden="false" customHeight="false" outlineLevel="0" collapsed="false">
      <c r="K962" s="24" t="n">
        <f aca="false">IF(Search!$B$3="",0,IF($A962="",N(K961),IF(ISNUMBER(SEARCH(Search!$B$3,$A962&amp;"")),N(K961)+1,N(K961))))</f>
        <v>0</v>
      </c>
    </row>
    <row r="963" customFormat="false" ht="15" hidden="false" customHeight="false" outlineLevel="0" collapsed="false">
      <c r="K963" s="24" t="n">
        <f aca="false">IF(Search!$B$3="",0,IF($A963="",N(K962),IF(ISNUMBER(SEARCH(Search!$B$3,$A963&amp;"")),N(K962)+1,N(K962))))</f>
        <v>0</v>
      </c>
    </row>
    <row r="964" customFormat="false" ht="15" hidden="false" customHeight="false" outlineLevel="0" collapsed="false">
      <c r="K964" s="24" t="n">
        <f aca="false">IF(Search!$B$3="",0,IF($A964="",N(K963),IF(ISNUMBER(SEARCH(Search!$B$3,$A964&amp;"")),N(K963)+1,N(K963))))</f>
        <v>0</v>
      </c>
    </row>
    <row r="965" customFormat="false" ht="15" hidden="false" customHeight="false" outlineLevel="0" collapsed="false">
      <c r="K965" s="24" t="n">
        <f aca="false">IF(Search!$B$3="",0,IF($A965="",N(K964),IF(ISNUMBER(SEARCH(Search!$B$3,$A965&amp;"")),N(K964)+1,N(K964))))</f>
        <v>0</v>
      </c>
    </row>
    <row r="966" customFormat="false" ht="15" hidden="false" customHeight="false" outlineLevel="0" collapsed="false">
      <c r="K966" s="24" t="n">
        <f aca="false">IF(Search!$B$3="",0,IF($A966="",N(K965),IF(ISNUMBER(SEARCH(Search!$B$3,$A966&amp;"")),N(K965)+1,N(K965))))</f>
        <v>0</v>
      </c>
    </row>
    <row r="967" customFormat="false" ht="15" hidden="false" customHeight="false" outlineLevel="0" collapsed="false">
      <c r="K967" s="24" t="n">
        <f aca="false">IF(Search!$B$3="",0,IF($A967="",N(K966),IF(ISNUMBER(SEARCH(Search!$B$3,$A967&amp;"")),N(K966)+1,N(K966))))</f>
        <v>0</v>
      </c>
    </row>
    <row r="968" customFormat="false" ht="15" hidden="false" customHeight="false" outlineLevel="0" collapsed="false">
      <c r="K968" s="24" t="n">
        <f aca="false">IF(Search!$B$3="",0,IF($A968="",N(K967),IF(ISNUMBER(SEARCH(Search!$B$3,$A968&amp;"")),N(K967)+1,N(K967))))</f>
        <v>0</v>
      </c>
    </row>
    <row r="969" customFormat="false" ht="15" hidden="false" customHeight="false" outlineLevel="0" collapsed="false">
      <c r="K969" s="24" t="n">
        <f aca="false">IF(Search!$B$3="",0,IF($A969="",N(K968),IF(ISNUMBER(SEARCH(Search!$B$3,$A969&amp;"")),N(K968)+1,N(K968))))</f>
        <v>0</v>
      </c>
    </row>
    <row r="970" customFormat="false" ht="15" hidden="false" customHeight="false" outlineLevel="0" collapsed="false">
      <c r="K970" s="24" t="n">
        <f aca="false">IF(Search!$B$3="",0,IF($A970="",N(K969),IF(ISNUMBER(SEARCH(Search!$B$3,$A970&amp;"")),N(K969)+1,N(K969))))</f>
        <v>0</v>
      </c>
    </row>
    <row r="971" customFormat="false" ht="15" hidden="false" customHeight="false" outlineLevel="0" collapsed="false">
      <c r="K971" s="24" t="n">
        <f aca="false">IF(Search!$B$3="",0,IF($A971="",N(K970),IF(ISNUMBER(SEARCH(Search!$B$3,$A971&amp;"")),N(K970)+1,N(K970))))</f>
        <v>0</v>
      </c>
    </row>
    <row r="972" customFormat="false" ht="15" hidden="false" customHeight="false" outlineLevel="0" collapsed="false">
      <c r="K972" s="24" t="n">
        <f aca="false">IF(Search!$B$3="",0,IF($A972="",N(K971),IF(ISNUMBER(SEARCH(Search!$B$3,$A972&amp;"")),N(K971)+1,N(K971))))</f>
        <v>0</v>
      </c>
    </row>
    <row r="973" customFormat="false" ht="15" hidden="false" customHeight="false" outlineLevel="0" collapsed="false">
      <c r="K973" s="24" t="n">
        <f aca="false">IF(Search!$B$3="",0,IF($A973="",N(K972),IF(ISNUMBER(SEARCH(Search!$B$3,$A973&amp;"")),N(K972)+1,N(K972))))</f>
        <v>0</v>
      </c>
    </row>
    <row r="974" customFormat="false" ht="15" hidden="false" customHeight="false" outlineLevel="0" collapsed="false">
      <c r="K974" s="24" t="n">
        <f aca="false">IF(Search!$B$3="",0,IF($A974="",N(K973),IF(ISNUMBER(SEARCH(Search!$B$3,$A974&amp;"")),N(K973)+1,N(K973))))</f>
        <v>0</v>
      </c>
    </row>
    <row r="975" customFormat="false" ht="15" hidden="false" customHeight="false" outlineLevel="0" collapsed="false">
      <c r="K975" s="24" t="n">
        <f aca="false">IF(Search!$B$3="",0,IF($A975="",N(K974),IF(ISNUMBER(SEARCH(Search!$B$3,$A975&amp;"")),N(K974)+1,N(K974))))</f>
        <v>0</v>
      </c>
    </row>
    <row r="976" customFormat="false" ht="15" hidden="false" customHeight="false" outlineLevel="0" collapsed="false">
      <c r="K976" s="24" t="n">
        <f aca="false">IF(Search!$B$3="",0,IF($A976="",N(K975),IF(ISNUMBER(SEARCH(Search!$B$3,$A976&amp;"")),N(K975)+1,N(K975))))</f>
        <v>0</v>
      </c>
    </row>
    <row r="977" customFormat="false" ht="15" hidden="false" customHeight="false" outlineLevel="0" collapsed="false">
      <c r="K977" s="24" t="n">
        <f aca="false">IF(Search!$B$3="",0,IF($A977="",N(K976),IF(ISNUMBER(SEARCH(Search!$B$3,$A977&amp;"")),N(K976)+1,N(K976))))</f>
        <v>0</v>
      </c>
    </row>
    <row r="978" customFormat="false" ht="15" hidden="false" customHeight="false" outlineLevel="0" collapsed="false">
      <c r="K978" s="24" t="n">
        <f aca="false">IF(Search!$B$3="",0,IF($A978="",N(K977),IF(ISNUMBER(SEARCH(Search!$B$3,$A978&amp;"")),N(K977)+1,N(K977))))</f>
        <v>0</v>
      </c>
    </row>
    <row r="979" customFormat="false" ht="15" hidden="false" customHeight="false" outlineLevel="0" collapsed="false">
      <c r="K979" s="24" t="n">
        <f aca="false">IF(Search!$B$3="",0,IF($A979="",N(K978),IF(ISNUMBER(SEARCH(Search!$B$3,$A979&amp;"")),N(K978)+1,N(K978))))</f>
        <v>0</v>
      </c>
    </row>
    <row r="980" customFormat="false" ht="15" hidden="false" customHeight="false" outlineLevel="0" collapsed="false">
      <c r="K980" s="24" t="n">
        <f aca="false">IF(Search!$B$3="",0,IF($A980="",N(K979),IF(ISNUMBER(SEARCH(Search!$B$3,$A980&amp;"")),N(K979)+1,N(K979))))</f>
        <v>0</v>
      </c>
    </row>
    <row r="981" customFormat="false" ht="15" hidden="false" customHeight="false" outlineLevel="0" collapsed="false">
      <c r="K981" s="24" t="n">
        <f aca="false">IF(Search!$B$3="",0,IF($A981="",N(K980),IF(ISNUMBER(SEARCH(Search!$B$3,$A981&amp;"")),N(K980)+1,N(K980))))</f>
        <v>0</v>
      </c>
    </row>
    <row r="982" customFormat="false" ht="15" hidden="false" customHeight="false" outlineLevel="0" collapsed="false">
      <c r="K982" s="24" t="n">
        <f aca="false">IF(Search!$B$3="",0,IF($A982="",N(K981),IF(ISNUMBER(SEARCH(Search!$B$3,$A982&amp;"")),N(K981)+1,N(K981))))</f>
        <v>0</v>
      </c>
    </row>
    <row r="983" customFormat="false" ht="15" hidden="false" customHeight="false" outlineLevel="0" collapsed="false">
      <c r="K983" s="24" t="n">
        <f aca="false">IF(Search!$B$3="",0,IF($A983="",N(K982),IF(ISNUMBER(SEARCH(Search!$B$3,$A983&amp;"")),N(K982)+1,N(K982))))</f>
        <v>0</v>
      </c>
    </row>
    <row r="984" customFormat="false" ht="15" hidden="false" customHeight="false" outlineLevel="0" collapsed="false">
      <c r="K984" s="24" t="n">
        <f aca="false">IF(Search!$B$3="",0,IF($A984="",N(K983),IF(ISNUMBER(SEARCH(Search!$B$3,$A984&amp;"")),N(K983)+1,N(K983))))</f>
        <v>0</v>
      </c>
    </row>
    <row r="985" customFormat="false" ht="15" hidden="false" customHeight="false" outlineLevel="0" collapsed="false">
      <c r="K985" s="24" t="n">
        <f aca="false">IF(Search!$B$3="",0,IF($A985="",N(K984),IF(ISNUMBER(SEARCH(Search!$B$3,$A985&amp;"")),N(K984)+1,N(K984))))</f>
        <v>0</v>
      </c>
    </row>
    <row r="986" customFormat="false" ht="15" hidden="false" customHeight="false" outlineLevel="0" collapsed="false">
      <c r="K986" s="24" t="n">
        <f aca="false">IF(Search!$B$3="",0,IF($A986="",N(K985),IF(ISNUMBER(SEARCH(Search!$B$3,$A986&amp;"")),N(K985)+1,N(K985))))</f>
        <v>0</v>
      </c>
    </row>
    <row r="987" customFormat="false" ht="15" hidden="false" customHeight="false" outlineLevel="0" collapsed="false">
      <c r="K987" s="24" t="n">
        <f aca="false">IF(Search!$B$3="",0,IF($A987="",N(K986),IF(ISNUMBER(SEARCH(Search!$B$3,$A987&amp;"")),N(K986)+1,N(K986))))</f>
        <v>0</v>
      </c>
    </row>
    <row r="988" customFormat="false" ht="15" hidden="false" customHeight="false" outlineLevel="0" collapsed="false">
      <c r="K988" s="24" t="n">
        <f aca="false">IF(Search!$B$3="",0,IF($A988="",N(K987),IF(ISNUMBER(SEARCH(Search!$B$3,$A988&amp;"")),N(K987)+1,N(K987))))</f>
        <v>0</v>
      </c>
    </row>
    <row r="989" customFormat="false" ht="15" hidden="false" customHeight="false" outlineLevel="0" collapsed="false">
      <c r="K989" s="24" t="n">
        <f aca="false">IF(Search!$B$3="",0,IF($A989="",N(K988),IF(ISNUMBER(SEARCH(Search!$B$3,$A989&amp;"")),N(K988)+1,N(K988))))</f>
        <v>0</v>
      </c>
    </row>
    <row r="990" customFormat="false" ht="15" hidden="false" customHeight="false" outlineLevel="0" collapsed="false">
      <c r="K990" s="24" t="n">
        <f aca="false">IF(Search!$B$3="",0,IF($A990="",N(K989),IF(ISNUMBER(SEARCH(Search!$B$3,$A990&amp;"")),N(K989)+1,N(K989))))</f>
        <v>0</v>
      </c>
    </row>
    <row r="991" customFormat="false" ht="15" hidden="false" customHeight="false" outlineLevel="0" collapsed="false">
      <c r="K991" s="24" t="n">
        <f aca="false">IF(Search!$B$3="",0,IF($A991="",N(K990),IF(ISNUMBER(SEARCH(Search!$B$3,$A991&amp;"")),N(K990)+1,N(K990))))</f>
        <v>0</v>
      </c>
    </row>
    <row r="992" customFormat="false" ht="15" hidden="false" customHeight="false" outlineLevel="0" collapsed="false">
      <c r="K992" s="24" t="n">
        <f aca="false">IF(Search!$B$3="",0,IF($A992="",N(K991),IF(ISNUMBER(SEARCH(Search!$B$3,$A992&amp;"")),N(K991)+1,N(K991))))</f>
        <v>0</v>
      </c>
    </row>
    <row r="993" customFormat="false" ht="15" hidden="false" customHeight="false" outlineLevel="0" collapsed="false">
      <c r="K993" s="24" t="n">
        <f aca="false">IF(Search!$B$3="",0,IF($A993="",N(K992),IF(ISNUMBER(SEARCH(Search!$B$3,$A993&amp;"")),N(K992)+1,N(K992))))</f>
        <v>0</v>
      </c>
    </row>
    <row r="994" customFormat="false" ht="15" hidden="false" customHeight="false" outlineLevel="0" collapsed="false">
      <c r="K994" s="24" t="n">
        <f aca="false">IF(Search!$B$3="",0,IF($A994="",N(K993),IF(ISNUMBER(SEARCH(Search!$B$3,$A994&amp;"")),N(K993)+1,N(K993))))</f>
        <v>0</v>
      </c>
    </row>
    <row r="995" customFormat="false" ht="15" hidden="false" customHeight="false" outlineLevel="0" collapsed="false">
      <c r="K995" s="24" t="n">
        <f aca="false">IF(Search!$B$3="",0,IF($A995="",N(K994),IF(ISNUMBER(SEARCH(Search!$B$3,$A995&amp;"")),N(K994)+1,N(K994))))</f>
        <v>0</v>
      </c>
    </row>
    <row r="996" customFormat="false" ht="15" hidden="false" customHeight="false" outlineLevel="0" collapsed="false">
      <c r="K996" s="24" t="n">
        <f aca="false">IF(Search!$B$3="",0,IF($A996="",N(K995),IF(ISNUMBER(SEARCH(Search!$B$3,$A996&amp;"")),N(K995)+1,N(K995))))</f>
        <v>0</v>
      </c>
    </row>
    <row r="997" customFormat="false" ht="15" hidden="false" customHeight="false" outlineLevel="0" collapsed="false">
      <c r="K997" s="24" t="n">
        <f aca="false">IF(Search!$B$3="",0,IF($A997="",N(K996),IF(ISNUMBER(SEARCH(Search!$B$3,$A997&amp;"")),N(K996)+1,N(K996))))</f>
        <v>0</v>
      </c>
    </row>
    <row r="998" customFormat="false" ht="15" hidden="false" customHeight="false" outlineLevel="0" collapsed="false">
      <c r="K998" s="24" t="n">
        <f aca="false">IF(Search!$B$3="",0,IF($A998="",N(K997),IF(ISNUMBER(SEARCH(Search!$B$3,$A998&amp;"")),N(K997)+1,N(K997))))</f>
        <v>0</v>
      </c>
    </row>
    <row r="999" customFormat="false" ht="15" hidden="false" customHeight="false" outlineLevel="0" collapsed="false">
      <c r="K999" s="24" t="n">
        <f aca="false">IF(Search!$B$3="",0,IF($A999="",N(K998),IF(ISNUMBER(SEARCH(Search!$B$3,$A999&amp;"")),N(K998)+1,N(K998))))</f>
        <v>0</v>
      </c>
    </row>
    <row r="1000" customFormat="false" ht="15" hidden="false" customHeight="false" outlineLevel="0" collapsed="false">
      <c r="K1000" s="24" t="n">
        <f aca="false">IF(Search!$B$3="",0,IF($A1000="",N(K999),IF(ISNUMBER(SEARCH(Search!$B$3,$A1000&amp;"")),N(K999)+1,N(K999))))</f>
        <v>0</v>
      </c>
    </row>
    <row r="1001" customFormat="false" ht="15" hidden="false" customHeight="false" outlineLevel="0" collapsed="false">
      <c r="K1001" s="24" t="n">
        <f aca="false">IF(Search!$B$3="",0,IF($A1001="",N(K1000),IF(ISNUMBER(SEARCH(Search!$B$3,$A1001&amp;"")),N(K1000)+1,N(K1000))))</f>
        <v>0</v>
      </c>
    </row>
    <row r="1002" customFormat="false" ht="15" hidden="false" customHeight="false" outlineLevel="0" collapsed="false">
      <c r="K1002" s="24" t="n">
        <f aca="false">IF(Search!$B$3="",0,IF($A1002="",N(K1001),IF(ISNUMBER(SEARCH(Search!$B$3,$A1002&amp;"")),N(K1001)+1,N(K1001))))</f>
        <v>0</v>
      </c>
    </row>
    <row r="1003" customFormat="false" ht="15" hidden="false" customHeight="false" outlineLevel="0" collapsed="false">
      <c r="K1003" s="24" t="n">
        <f aca="false">IF(Search!$B$3="",0,IF($A1003="",N(K1002),IF(ISNUMBER(SEARCH(Search!$B$3,$A1003&amp;"")),N(K1002)+1,N(K1002))))</f>
        <v>0</v>
      </c>
    </row>
    <row r="1004" customFormat="false" ht="15" hidden="false" customHeight="false" outlineLevel="0" collapsed="false">
      <c r="K1004" s="24" t="n">
        <f aca="false">IF(Search!$B$3="",0,IF($A1004="",N(K1003),IF(ISNUMBER(SEARCH(Search!$B$3,$A1004&amp;"")),N(K1003)+1,N(K1003))))</f>
        <v>0</v>
      </c>
    </row>
    <row r="1005" customFormat="false" ht="15" hidden="false" customHeight="false" outlineLevel="0" collapsed="false">
      <c r="K1005" s="24" t="n">
        <f aca="false">IF(Search!$B$3="",0,IF($A1005="",N(K1004),IF(ISNUMBER(SEARCH(Search!$B$3,$A1005&amp;"")),N(K1004)+1,N(K1004))))</f>
        <v>0</v>
      </c>
    </row>
    <row r="1006" customFormat="false" ht="15" hidden="false" customHeight="false" outlineLevel="0" collapsed="false">
      <c r="K1006" s="24" t="n">
        <f aca="false">IF(Search!$B$3="",0,IF($A1006="",N(K1005),IF(ISNUMBER(SEARCH(Search!$B$3,$A1006&amp;"")),N(K1005)+1,N(K1005))))</f>
        <v>0</v>
      </c>
    </row>
    <row r="1007" customFormat="false" ht="15" hidden="false" customHeight="false" outlineLevel="0" collapsed="false">
      <c r="K1007" s="24" t="n">
        <f aca="false">IF(Search!$B$3="",0,IF($A1007="",N(K1006),IF(ISNUMBER(SEARCH(Search!$B$3,$A1007&amp;"")),N(K1006)+1,N(K1006))))</f>
        <v>0</v>
      </c>
    </row>
    <row r="1008" customFormat="false" ht="15" hidden="false" customHeight="false" outlineLevel="0" collapsed="false">
      <c r="K1008" s="24" t="n">
        <f aca="false">IF(Search!$B$3="",0,IF($A1008="",N(K1007),IF(ISNUMBER(SEARCH(Search!$B$3,$A1008&amp;"")),N(K1007)+1,N(K1007))))</f>
        <v>0</v>
      </c>
    </row>
    <row r="1009" customFormat="false" ht="15" hidden="false" customHeight="false" outlineLevel="0" collapsed="false">
      <c r="K1009" s="24" t="n">
        <f aca="false">IF(Search!$B$3="",0,IF($A1009="",N(K1008),IF(ISNUMBER(SEARCH(Search!$B$3,$A1009&amp;"")),N(K1008)+1,N(K1008))))</f>
        <v>0</v>
      </c>
    </row>
    <row r="1010" customFormat="false" ht="15" hidden="false" customHeight="false" outlineLevel="0" collapsed="false">
      <c r="K1010" s="24" t="n">
        <f aca="false">IF(Search!$B$3="",0,IF($A1010="",N(K1009),IF(ISNUMBER(SEARCH(Search!$B$3,$A1010&amp;"")),N(K1009)+1,N(K1009))))</f>
        <v>0</v>
      </c>
    </row>
    <row r="1011" customFormat="false" ht="15" hidden="false" customHeight="false" outlineLevel="0" collapsed="false">
      <c r="K1011" s="24" t="n">
        <f aca="false">IF(Search!$B$3="",0,IF($A1011="",N(K1010),IF(ISNUMBER(SEARCH(Search!$B$3,$A1011&amp;"")),N(K1010)+1,N(K1010))))</f>
        <v>0</v>
      </c>
    </row>
    <row r="1012" customFormat="false" ht="15" hidden="false" customHeight="false" outlineLevel="0" collapsed="false">
      <c r="K1012" s="24" t="n">
        <f aca="false">IF(Search!$B$3="",0,IF($A1012="",N(K1011),IF(ISNUMBER(SEARCH(Search!$B$3,$A1012&amp;"")),N(K1011)+1,N(K1011))))</f>
        <v>0</v>
      </c>
    </row>
    <row r="1013" customFormat="false" ht="15" hidden="false" customHeight="false" outlineLevel="0" collapsed="false">
      <c r="K1013" s="24" t="n">
        <f aca="false">IF(Search!$B$3="",0,IF($A1013="",N(K1012),IF(ISNUMBER(SEARCH(Search!$B$3,$A1013&amp;"")),N(K1012)+1,N(K1012))))</f>
        <v>0</v>
      </c>
    </row>
    <row r="1014" customFormat="false" ht="15" hidden="false" customHeight="false" outlineLevel="0" collapsed="false">
      <c r="K1014" s="24" t="n">
        <f aca="false">IF(Search!$B$3="",0,IF($A1014="",N(K1013),IF(ISNUMBER(SEARCH(Search!$B$3,$A1014&amp;"")),N(K1013)+1,N(K1013))))</f>
        <v>0</v>
      </c>
    </row>
    <row r="1015" customFormat="false" ht="15" hidden="false" customHeight="false" outlineLevel="0" collapsed="false">
      <c r="K1015" s="24" t="n">
        <f aca="false">IF(Search!$B$3="",0,IF($A1015="",N(K1014),IF(ISNUMBER(SEARCH(Search!$B$3,$A1015&amp;"")),N(K1014)+1,N(K1014))))</f>
        <v>0</v>
      </c>
    </row>
    <row r="1016" customFormat="false" ht="15" hidden="false" customHeight="false" outlineLevel="0" collapsed="false">
      <c r="K1016" s="24" t="n">
        <f aca="false">IF(Search!$B$3="",0,IF($A1016="",N(K1015),IF(ISNUMBER(SEARCH(Search!$B$3,$A1016&amp;"")),N(K1015)+1,N(K1015))))</f>
        <v>0</v>
      </c>
    </row>
    <row r="1017" customFormat="false" ht="15" hidden="false" customHeight="false" outlineLevel="0" collapsed="false">
      <c r="K1017" s="24" t="n">
        <f aca="false">IF(Search!$B$3="",0,IF($A1017="",N(K1016),IF(ISNUMBER(SEARCH(Search!$B$3,$A1017&amp;"")),N(K1016)+1,N(K1016))))</f>
        <v>0</v>
      </c>
    </row>
    <row r="1018" customFormat="false" ht="15" hidden="false" customHeight="false" outlineLevel="0" collapsed="false">
      <c r="K1018" s="24" t="n">
        <f aca="false">IF(Search!$B$3="",0,IF($A1018="",N(K1017),IF(ISNUMBER(SEARCH(Search!$B$3,$A1018&amp;"")),N(K1017)+1,N(K1017))))</f>
        <v>0</v>
      </c>
    </row>
    <row r="1019" customFormat="false" ht="15" hidden="false" customHeight="false" outlineLevel="0" collapsed="false">
      <c r="K1019" s="24" t="n">
        <f aca="false">IF(Search!$B$3="",0,IF($A1019="",N(K1018),IF(ISNUMBER(SEARCH(Search!$B$3,$A1019&amp;"")),N(K1018)+1,N(K1018))))</f>
        <v>0</v>
      </c>
    </row>
    <row r="1020" customFormat="false" ht="15" hidden="false" customHeight="false" outlineLevel="0" collapsed="false">
      <c r="K1020" s="24" t="n">
        <f aca="false">IF(Search!$B$3="",0,IF($A1020="",N(K1019),IF(ISNUMBER(SEARCH(Search!$B$3,$A1020&amp;"")),N(K1019)+1,N(K1019))))</f>
        <v>0</v>
      </c>
    </row>
    <row r="1021" customFormat="false" ht="15" hidden="false" customHeight="false" outlineLevel="0" collapsed="false">
      <c r="K1021" s="24" t="n">
        <f aca="false">IF(Search!$B$3="",0,IF($A1021="",N(K1020),IF(ISNUMBER(SEARCH(Search!$B$3,$A1021&amp;"")),N(K1020)+1,N(K1020))))</f>
        <v>0</v>
      </c>
    </row>
    <row r="1022" customFormat="false" ht="15" hidden="false" customHeight="false" outlineLevel="0" collapsed="false">
      <c r="K1022" s="24" t="n">
        <f aca="false">IF(Search!$B$3="",0,IF($A1022="",N(K1021),IF(ISNUMBER(SEARCH(Search!$B$3,$A1022&amp;"")),N(K1021)+1,N(K1021))))</f>
        <v>0</v>
      </c>
    </row>
    <row r="1023" customFormat="false" ht="15" hidden="false" customHeight="false" outlineLevel="0" collapsed="false">
      <c r="K1023" s="24" t="n">
        <f aca="false">IF(Search!$B$3="",0,IF($A1023="",N(K1022),IF(ISNUMBER(SEARCH(Search!$B$3,$A1023&amp;"")),N(K1022)+1,N(K1022))))</f>
        <v>0</v>
      </c>
    </row>
    <row r="1024" customFormat="false" ht="15" hidden="false" customHeight="false" outlineLevel="0" collapsed="false">
      <c r="K1024" s="24" t="n">
        <f aca="false">IF(Search!$B$3="",0,IF($A1024="",N(K1023),IF(ISNUMBER(SEARCH(Search!$B$3,$A1024&amp;"")),N(K1023)+1,N(K1023))))</f>
        <v>0</v>
      </c>
    </row>
    <row r="1025" customFormat="false" ht="15" hidden="false" customHeight="false" outlineLevel="0" collapsed="false">
      <c r="K1025" s="24" t="n">
        <f aca="false">IF(Search!$B$3="",0,IF($A1025="",N(K1024),IF(ISNUMBER(SEARCH(Search!$B$3,$A1025&amp;"")),N(K1024)+1,N(K1024))))</f>
        <v>0</v>
      </c>
    </row>
    <row r="1026" customFormat="false" ht="15" hidden="false" customHeight="false" outlineLevel="0" collapsed="false">
      <c r="K1026" s="24" t="n">
        <f aca="false">IF(Search!$B$3="",0,IF($A1026="",N(K1025),IF(ISNUMBER(SEARCH(Search!$B$3,$A1026&amp;"")),N(K1025)+1,N(K1025))))</f>
        <v>0</v>
      </c>
    </row>
    <row r="1027" customFormat="false" ht="15" hidden="false" customHeight="false" outlineLevel="0" collapsed="false">
      <c r="K1027" s="24" t="n">
        <f aca="false">IF(Search!$B$3="",0,IF($A1027="",N(K1026),IF(ISNUMBER(SEARCH(Search!$B$3,$A1027&amp;"")),N(K1026)+1,N(K1026))))</f>
        <v>0</v>
      </c>
    </row>
    <row r="1028" customFormat="false" ht="15" hidden="false" customHeight="false" outlineLevel="0" collapsed="false">
      <c r="K1028" s="24" t="n">
        <f aca="false">IF(Search!$B$3="",0,IF($A1028="",N(K1027),IF(ISNUMBER(SEARCH(Search!$B$3,$A1028&amp;"")),N(K1027)+1,N(K1027))))</f>
        <v>0</v>
      </c>
    </row>
    <row r="1029" customFormat="false" ht="15" hidden="false" customHeight="false" outlineLevel="0" collapsed="false">
      <c r="K1029" s="24" t="n">
        <f aca="false">IF(Search!$B$3="",0,IF($A1029="",N(K1028),IF(ISNUMBER(SEARCH(Search!$B$3,$A1029&amp;"")),N(K1028)+1,N(K1028))))</f>
        <v>0</v>
      </c>
    </row>
    <row r="1030" customFormat="false" ht="15" hidden="false" customHeight="false" outlineLevel="0" collapsed="false">
      <c r="K1030" s="24" t="n">
        <f aca="false">IF(Search!$B$3="",0,IF($A1030="",N(K1029),IF(ISNUMBER(SEARCH(Search!$B$3,$A1030&amp;"")),N(K1029)+1,N(K1029))))</f>
        <v>0</v>
      </c>
    </row>
    <row r="1031" customFormat="false" ht="15" hidden="false" customHeight="false" outlineLevel="0" collapsed="false">
      <c r="K1031" s="24" t="n">
        <f aca="false">IF(Search!$B$3="",0,IF($A1031="",N(K1030),IF(ISNUMBER(SEARCH(Search!$B$3,$A1031&amp;"")),N(K1030)+1,N(K1030))))</f>
        <v>0</v>
      </c>
    </row>
    <row r="1032" customFormat="false" ht="15" hidden="false" customHeight="false" outlineLevel="0" collapsed="false">
      <c r="K1032" s="24" t="n">
        <f aca="false">IF(Search!$B$3="",0,IF($A1032="",N(K1031),IF(ISNUMBER(SEARCH(Search!$B$3,$A1032&amp;"")),N(K1031)+1,N(K1031))))</f>
        <v>0</v>
      </c>
    </row>
    <row r="1033" customFormat="false" ht="15" hidden="false" customHeight="false" outlineLevel="0" collapsed="false">
      <c r="K1033" s="24" t="n">
        <f aca="false">IF(Search!$B$3="",0,IF($A1033="",N(K1032),IF(ISNUMBER(SEARCH(Search!$B$3,$A1033&amp;"")),N(K1032)+1,N(K1032))))</f>
        <v>0</v>
      </c>
    </row>
    <row r="1034" customFormat="false" ht="15" hidden="false" customHeight="false" outlineLevel="0" collapsed="false">
      <c r="K1034" s="24" t="n">
        <f aca="false">IF(Search!$B$3="",0,IF($A1034="",N(K1033),IF(ISNUMBER(SEARCH(Search!$B$3,$A1034&amp;"")),N(K1033)+1,N(K1033))))</f>
        <v>0</v>
      </c>
    </row>
    <row r="1035" customFormat="false" ht="15" hidden="false" customHeight="false" outlineLevel="0" collapsed="false">
      <c r="K1035" s="24" t="n">
        <f aca="false">IF(Search!$B$3="",0,IF($A1035="",N(K1034),IF(ISNUMBER(SEARCH(Search!$B$3,$A1035&amp;"")),N(K1034)+1,N(K1034))))</f>
        <v>0</v>
      </c>
    </row>
    <row r="1036" customFormat="false" ht="15" hidden="false" customHeight="false" outlineLevel="0" collapsed="false">
      <c r="K1036" s="24" t="n">
        <f aca="false">IF(Search!$B$3="",0,IF($A1036="",N(K1035),IF(ISNUMBER(SEARCH(Search!$B$3,$A1036&amp;"")),N(K1035)+1,N(K1035))))</f>
        <v>0</v>
      </c>
    </row>
    <row r="1037" customFormat="false" ht="15" hidden="false" customHeight="false" outlineLevel="0" collapsed="false">
      <c r="K1037" s="24" t="n">
        <f aca="false">IF(Search!$B$3="",0,IF($A1037="",N(K1036),IF(ISNUMBER(SEARCH(Search!$B$3,$A1037&amp;"")),N(K1036)+1,N(K1036))))</f>
        <v>0</v>
      </c>
    </row>
    <row r="1038" customFormat="false" ht="15" hidden="false" customHeight="false" outlineLevel="0" collapsed="false">
      <c r="K1038" s="24" t="n">
        <f aca="false">IF(Search!$B$3="",0,IF($A1038="",N(K1037),IF(ISNUMBER(SEARCH(Search!$B$3,$A1038&amp;"")),N(K1037)+1,N(K1037))))</f>
        <v>0</v>
      </c>
    </row>
    <row r="1039" customFormat="false" ht="15" hidden="false" customHeight="false" outlineLevel="0" collapsed="false">
      <c r="K1039" s="24" t="n">
        <f aca="false">IF(Search!$B$3="",0,IF($A1039="",N(K1038),IF(ISNUMBER(SEARCH(Search!$B$3,$A1039&amp;"")),N(K1038)+1,N(K1038))))</f>
        <v>0</v>
      </c>
    </row>
    <row r="1040" customFormat="false" ht="15" hidden="false" customHeight="false" outlineLevel="0" collapsed="false">
      <c r="K1040" s="24" t="n">
        <f aca="false">IF(Search!$B$3="",0,IF($A1040="",N(K1039),IF(ISNUMBER(SEARCH(Search!$B$3,$A1040&amp;"")),N(K1039)+1,N(K1039))))</f>
        <v>0</v>
      </c>
    </row>
    <row r="1041" customFormat="false" ht="15" hidden="false" customHeight="false" outlineLevel="0" collapsed="false">
      <c r="K1041" s="24" t="n">
        <f aca="false">IF(Search!$B$3="",0,IF($A1041="",N(K1040),IF(ISNUMBER(SEARCH(Search!$B$3,$A1041&amp;"")),N(K1040)+1,N(K1040))))</f>
        <v>0</v>
      </c>
    </row>
    <row r="1042" customFormat="false" ht="15" hidden="false" customHeight="false" outlineLevel="0" collapsed="false">
      <c r="K1042" s="24" t="n">
        <f aca="false">IF(Search!$B$3="",0,IF($A1042="",N(K1041),IF(ISNUMBER(SEARCH(Search!$B$3,$A1042&amp;"")),N(K1041)+1,N(K1041))))</f>
        <v>0</v>
      </c>
    </row>
    <row r="1043" customFormat="false" ht="15" hidden="false" customHeight="false" outlineLevel="0" collapsed="false">
      <c r="K1043" s="24" t="n">
        <f aca="false">IF(Search!$B$3="",0,IF($A1043="",N(K1042),IF(ISNUMBER(SEARCH(Search!$B$3,$A1043&amp;"")),N(K1042)+1,N(K1042))))</f>
        <v>0</v>
      </c>
    </row>
    <row r="1044" customFormat="false" ht="15" hidden="false" customHeight="false" outlineLevel="0" collapsed="false">
      <c r="K1044" s="24" t="n">
        <f aca="false">IF(Search!$B$3="",0,IF($A1044="",N(K1043),IF(ISNUMBER(SEARCH(Search!$B$3,$A1044&amp;"")),N(K1043)+1,N(K1043))))</f>
        <v>0</v>
      </c>
    </row>
    <row r="1045" customFormat="false" ht="15" hidden="false" customHeight="false" outlineLevel="0" collapsed="false">
      <c r="K1045" s="24" t="n">
        <f aca="false">IF(Search!$B$3="",0,IF($A1045="",N(K1044),IF(ISNUMBER(SEARCH(Search!$B$3,$A1045&amp;"")),N(K1044)+1,N(K1044))))</f>
        <v>0</v>
      </c>
    </row>
    <row r="1046" customFormat="false" ht="15" hidden="false" customHeight="false" outlineLevel="0" collapsed="false">
      <c r="K1046" s="24" t="n">
        <f aca="false">IF(Search!$B$3="",0,IF($A1046="",N(K1045),IF(ISNUMBER(SEARCH(Search!$B$3,$A1046&amp;"")),N(K1045)+1,N(K1045))))</f>
        <v>0</v>
      </c>
    </row>
    <row r="1047" customFormat="false" ht="15" hidden="false" customHeight="false" outlineLevel="0" collapsed="false">
      <c r="K1047" s="24" t="n">
        <f aca="false">IF(Search!$B$3="",0,IF($A1047="",N(K1046),IF(ISNUMBER(SEARCH(Search!$B$3,$A1047&amp;"")),N(K1046)+1,N(K1046))))</f>
        <v>0</v>
      </c>
    </row>
    <row r="1048" customFormat="false" ht="15" hidden="false" customHeight="false" outlineLevel="0" collapsed="false">
      <c r="K1048" s="24" t="n">
        <f aca="false">IF(Search!$B$3="",0,IF($A1048="",N(K1047),IF(ISNUMBER(SEARCH(Search!$B$3,$A1048&amp;"")),N(K1047)+1,N(K1047))))</f>
        <v>0</v>
      </c>
    </row>
    <row r="1049" customFormat="false" ht="15" hidden="false" customHeight="false" outlineLevel="0" collapsed="false">
      <c r="K1049" s="24" t="n">
        <f aca="false">IF(Search!$B$3="",0,IF($A1049="",N(K1048),IF(ISNUMBER(SEARCH(Search!$B$3,$A1049&amp;"")),N(K1048)+1,N(K1048))))</f>
        <v>0</v>
      </c>
    </row>
    <row r="1050" customFormat="false" ht="15" hidden="false" customHeight="false" outlineLevel="0" collapsed="false">
      <c r="K1050" s="24" t="n">
        <f aca="false">IF(Search!$B$3="",0,IF($A1050="",N(K1049),IF(ISNUMBER(SEARCH(Search!$B$3,$A1050&amp;"")),N(K1049)+1,N(K1049))))</f>
        <v>0</v>
      </c>
    </row>
    <row r="1051" customFormat="false" ht="15" hidden="false" customHeight="false" outlineLevel="0" collapsed="false">
      <c r="K1051" s="24" t="n">
        <f aca="false">IF(Search!$B$3="",0,IF($A1051="",N(K1050),IF(ISNUMBER(SEARCH(Search!$B$3,$A1051&amp;"")),N(K1050)+1,N(K1050))))</f>
        <v>0</v>
      </c>
    </row>
    <row r="1052" customFormat="false" ht="15" hidden="false" customHeight="false" outlineLevel="0" collapsed="false">
      <c r="K1052" s="24" t="n">
        <f aca="false">IF(Search!$B$3="",0,IF($A1052="",N(K1051),IF(ISNUMBER(SEARCH(Search!$B$3,$A1052&amp;"")),N(K1051)+1,N(K1051))))</f>
        <v>0</v>
      </c>
    </row>
    <row r="1053" customFormat="false" ht="15" hidden="false" customHeight="false" outlineLevel="0" collapsed="false">
      <c r="K1053" s="24" t="n">
        <f aca="false">IF(Search!$B$3="",0,IF($A1053="",N(K1052),IF(ISNUMBER(SEARCH(Search!$B$3,$A1053&amp;"")),N(K1052)+1,N(K1052))))</f>
        <v>0</v>
      </c>
    </row>
    <row r="1054" customFormat="false" ht="15" hidden="false" customHeight="false" outlineLevel="0" collapsed="false">
      <c r="K1054" s="24" t="n">
        <f aca="false">IF(Search!$B$3="",0,IF($A1054="",N(K1053),IF(ISNUMBER(SEARCH(Search!$B$3,$A1054&amp;"")),N(K1053)+1,N(K1053))))</f>
        <v>0</v>
      </c>
    </row>
    <row r="1055" customFormat="false" ht="15" hidden="false" customHeight="false" outlineLevel="0" collapsed="false">
      <c r="K1055" s="24" t="n">
        <f aca="false">IF(Search!$B$3="",0,IF($A1055="",N(K1054),IF(ISNUMBER(SEARCH(Search!$B$3,$A1055&amp;"")),N(K1054)+1,N(K1054))))</f>
        <v>0</v>
      </c>
    </row>
    <row r="1056" customFormat="false" ht="15" hidden="false" customHeight="false" outlineLevel="0" collapsed="false">
      <c r="K1056" s="24" t="n">
        <f aca="false">IF(Search!$B$3="",0,IF($A1056="",N(K1055),IF(ISNUMBER(SEARCH(Search!$B$3,$A1056&amp;"")),N(K1055)+1,N(K1055))))</f>
        <v>0</v>
      </c>
    </row>
    <row r="1057" customFormat="false" ht="15" hidden="false" customHeight="false" outlineLevel="0" collapsed="false">
      <c r="K1057" s="24" t="n">
        <f aca="false">IF(Search!$B$3="",0,IF($A1057="",N(K1056),IF(ISNUMBER(SEARCH(Search!$B$3,$A1057&amp;"")),N(K1056)+1,N(K1056))))</f>
        <v>0</v>
      </c>
    </row>
    <row r="1058" customFormat="false" ht="15" hidden="false" customHeight="false" outlineLevel="0" collapsed="false">
      <c r="K1058" s="24" t="n">
        <f aca="false">IF(Search!$B$3="",0,IF($A1058="",N(K1057),IF(ISNUMBER(SEARCH(Search!$B$3,$A1058&amp;"")),N(K1057)+1,N(K1057))))</f>
        <v>0</v>
      </c>
    </row>
    <row r="1059" customFormat="false" ht="15" hidden="false" customHeight="false" outlineLevel="0" collapsed="false">
      <c r="K1059" s="24" t="n">
        <f aca="false">IF(Search!$B$3="",0,IF($A1059="",N(K1058),IF(ISNUMBER(SEARCH(Search!$B$3,$A1059&amp;"")),N(K1058)+1,N(K1058))))</f>
        <v>0</v>
      </c>
    </row>
    <row r="1060" customFormat="false" ht="15" hidden="false" customHeight="false" outlineLevel="0" collapsed="false">
      <c r="K1060" s="24" t="n">
        <f aca="false">IF(Search!$B$3="",0,IF($A1060="",N(K1059),IF(ISNUMBER(SEARCH(Search!$B$3,$A1060&amp;"")),N(K1059)+1,N(K1059))))</f>
        <v>0</v>
      </c>
    </row>
    <row r="1061" customFormat="false" ht="15" hidden="false" customHeight="false" outlineLevel="0" collapsed="false">
      <c r="K1061" s="24" t="n">
        <f aca="false">IF(Search!$B$3="",0,IF($A1061="",N(K1060),IF(ISNUMBER(SEARCH(Search!$B$3,$A1061&amp;"")),N(K1060)+1,N(K1060))))</f>
        <v>0</v>
      </c>
    </row>
    <row r="1062" customFormat="false" ht="15" hidden="false" customHeight="false" outlineLevel="0" collapsed="false">
      <c r="K1062" s="24" t="n">
        <f aca="false">IF(Search!$B$3="",0,IF($A1062="",N(K1061),IF(ISNUMBER(SEARCH(Search!$B$3,$A1062&amp;"")),N(K1061)+1,N(K1061))))</f>
        <v>0</v>
      </c>
    </row>
    <row r="1063" customFormat="false" ht="15" hidden="false" customHeight="false" outlineLevel="0" collapsed="false">
      <c r="K1063" s="24" t="n">
        <f aca="false">IF(Search!$B$3="",0,IF($A1063="",N(K1062),IF(ISNUMBER(SEARCH(Search!$B$3,$A1063&amp;"")),N(K1062)+1,N(K1062))))</f>
        <v>0</v>
      </c>
    </row>
    <row r="1064" customFormat="false" ht="15" hidden="false" customHeight="false" outlineLevel="0" collapsed="false">
      <c r="K1064" s="24" t="n">
        <f aca="false">IF(Search!$B$3="",0,IF($A1064="",N(K1063),IF(ISNUMBER(SEARCH(Search!$B$3,$A1064&amp;"")),N(K1063)+1,N(K1063))))</f>
        <v>0</v>
      </c>
    </row>
    <row r="1065" customFormat="false" ht="15" hidden="false" customHeight="false" outlineLevel="0" collapsed="false">
      <c r="K1065" s="24" t="n">
        <f aca="false">IF(Search!$B$3="",0,IF($A1065="",N(K1064),IF(ISNUMBER(SEARCH(Search!$B$3,$A1065&amp;"")),N(K1064)+1,N(K1064))))</f>
        <v>0</v>
      </c>
    </row>
    <row r="1066" customFormat="false" ht="15" hidden="false" customHeight="false" outlineLevel="0" collapsed="false">
      <c r="K1066" s="24" t="n">
        <f aca="false">IF(Search!$B$3="",0,IF($A1066="",N(K1065),IF(ISNUMBER(SEARCH(Search!$B$3,$A1066&amp;"")),N(K1065)+1,N(K1065))))</f>
        <v>0</v>
      </c>
    </row>
    <row r="1067" customFormat="false" ht="15" hidden="false" customHeight="false" outlineLevel="0" collapsed="false">
      <c r="K1067" s="24" t="n">
        <f aca="false">IF(Search!$B$3="",0,IF($A1067="",N(K1066),IF(ISNUMBER(SEARCH(Search!$B$3,$A1067&amp;"")),N(K1066)+1,N(K1066))))</f>
        <v>0</v>
      </c>
    </row>
    <row r="1068" customFormat="false" ht="15" hidden="false" customHeight="false" outlineLevel="0" collapsed="false">
      <c r="K1068" s="24" t="n">
        <f aca="false">IF(Search!$B$3="",0,IF($A1068="",N(K1067),IF(ISNUMBER(SEARCH(Search!$B$3,$A1068&amp;"")),N(K1067)+1,N(K1067))))</f>
        <v>0</v>
      </c>
    </row>
    <row r="1069" customFormat="false" ht="15" hidden="false" customHeight="false" outlineLevel="0" collapsed="false">
      <c r="K1069" s="24" t="n">
        <f aca="false">IF(Search!$B$3="",0,IF($A1069="",N(K1068),IF(ISNUMBER(SEARCH(Search!$B$3,$A1069&amp;"")),N(K1068)+1,N(K1068))))</f>
        <v>0</v>
      </c>
    </row>
    <row r="1070" customFormat="false" ht="15" hidden="false" customHeight="false" outlineLevel="0" collapsed="false">
      <c r="K1070" s="24" t="n">
        <f aca="false">IF(Search!$B$3="",0,IF($A1070="",N(K1069),IF(ISNUMBER(SEARCH(Search!$B$3,$A1070&amp;"")),N(K1069)+1,N(K1069))))</f>
        <v>0</v>
      </c>
    </row>
    <row r="1071" customFormat="false" ht="15" hidden="false" customHeight="false" outlineLevel="0" collapsed="false">
      <c r="K1071" s="24" t="n">
        <f aca="false">IF(Search!$B$3="",0,IF($A1071="",N(K1070),IF(ISNUMBER(SEARCH(Search!$B$3,$A1071&amp;"")),N(K1070)+1,N(K1070))))</f>
        <v>0</v>
      </c>
    </row>
    <row r="1072" customFormat="false" ht="15" hidden="false" customHeight="false" outlineLevel="0" collapsed="false">
      <c r="K1072" s="24" t="n">
        <f aca="false">IF(Search!$B$3="",0,IF($A1072="",N(K1071),IF(ISNUMBER(SEARCH(Search!$B$3,$A1072&amp;"")),N(K1071)+1,N(K1071))))</f>
        <v>0</v>
      </c>
    </row>
    <row r="1073" customFormat="false" ht="15" hidden="false" customHeight="false" outlineLevel="0" collapsed="false">
      <c r="K1073" s="24" t="n">
        <f aca="false">IF(Search!$B$3="",0,IF($A1073="",N(K1072),IF(ISNUMBER(SEARCH(Search!$B$3,$A1073&amp;"")),N(K1072)+1,N(K1072))))</f>
        <v>0</v>
      </c>
    </row>
    <row r="1074" customFormat="false" ht="15" hidden="false" customHeight="false" outlineLevel="0" collapsed="false">
      <c r="K1074" s="24" t="n">
        <f aca="false">IF(Search!$B$3="",0,IF($A1074="",N(K1073),IF(ISNUMBER(SEARCH(Search!$B$3,$A1074&amp;"")),N(K1073)+1,N(K1073))))</f>
        <v>0</v>
      </c>
    </row>
    <row r="1075" customFormat="false" ht="15" hidden="false" customHeight="false" outlineLevel="0" collapsed="false">
      <c r="K1075" s="24" t="n">
        <f aca="false">IF(Search!$B$3="",0,IF($A1075="",N(K1074),IF(ISNUMBER(SEARCH(Search!$B$3,$A1075&amp;"")),N(K1074)+1,N(K1074))))</f>
        <v>0</v>
      </c>
    </row>
    <row r="1076" customFormat="false" ht="15" hidden="false" customHeight="false" outlineLevel="0" collapsed="false">
      <c r="K1076" s="24" t="n">
        <f aca="false">IF(Search!$B$3="",0,IF($A1076="",N(K1075),IF(ISNUMBER(SEARCH(Search!$B$3,$A1076&amp;"")),N(K1075)+1,N(K1075))))</f>
        <v>0</v>
      </c>
    </row>
    <row r="1077" customFormat="false" ht="15" hidden="false" customHeight="false" outlineLevel="0" collapsed="false">
      <c r="K1077" s="24" t="n">
        <f aca="false">IF(Search!$B$3="",0,IF($A1077="",N(K1076),IF(ISNUMBER(SEARCH(Search!$B$3,$A1077&amp;"")),N(K1076)+1,N(K1076))))</f>
        <v>0</v>
      </c>
    </row>
    <row r="1078" customFormat="false" ht="15" hidden="false" customHeight="false" outlineLevel="0" collapsed="false">
      <c r="K1078" s="24" t="n">
        <f aca="false">IF(Search!$B$3="",0,IF($A1078="",N(K1077),IF(ISNUMBER(SEARCH(Search!$B$3,$A1078&amp;"")),N(K1077)+1,N(K1077))))</f>
        <v>0</v>
      </c>
    </row>
    <row r="1079" customFormat="false" ht="15" hidden="false" customHeight="false" outlineLevel="0" collapsed="false">
      <c r="K1079" s="24" t="n">
        <f aca="false">IF(Search!$B$3="",0,IF($A1079="",N(K1078),IF(ISNUMBER(SEARCH(Search!$B$3,$A1079&amp;"")),N(K1078)+1,N(K1078))))</f>
        <v>0</v>
      </c>
    </row>
    <row r="1080" customFormat="false" ht="15" hidden="false" customHeight="false" outlineLevel="0" collapsed="false">
      <c r="K1080" s="24" t="n">
        <f aca="false">IF(Search!$B$3="",0,IF($A1080="",N(K1079),IF(ISNUMBER(SEARCH(Search!$B$3,$A1080&amp;"")),N(K1079)+1,N(K1079))))</f>
        <v>0</v>
      </c>
    </row>
    <row r="1081" customFormat="false" ht="15" hidden="false" customHeight="false" outlineLevel="0" collapsed="false">
      <c r="K1081" s="24" t="n">
        <f aca="false">IF(Search!$B$3="",0,IF($A1081="",N(K1080),IF(ISNUMBER(SEARCH(Search!$B$3,$A1081&amp;"")),N(K1080)+1,N(K1080))))</f>
        <v>0</v>
      </c>
    </row>
    <row r="1082" customFormat="false" ht="15" hidden="false" customHeight="false" outlineLevel="0" collapsed="false">
      <c r="K1082" s="24" t="n">
        <f aca="false">IF(Search!$B$3="",0,IF($A1082="",N(K1081),IF(ISNUMBER(SEARCH(Search!$B$3,$A1082&amp;"")),N(K1081)+1,N(K1081))))</f>
        <v>0</v>
      </c>
    </row>
    <row r="1083" customFormat="false" ht="15" hidden="false" customHeight="false" outlineLevel="0" collapsed="false">
      <c r="K1083" s="24" t="n">
        <f aca="false">IF(Search!$B$3="",0,IF($A1083="",N(K1082),IF(ISNUMBER(SEARCH(Search!$B$3,$A1083&amp;"")),N(K1082)+1,N(K1082))))</f>
        <v>0</v>
      </c>
    </row>
    <row r="1084" customFormat="false" ht="15" hidden="false" customHeight="false" outlineLevel="0" collapsed="false">
      <c r="K1084" s="24" t="n">
        <f aca="false">IF(Search!$B$3="",0,IF($A1084="",N(K1083),IF(ISNUMBER(SEARCH(Search!$B$3,$A1084&amp;"")),N(K1083)+1,N(K1083))))</f>
        <v>0</v>
      </c>
    </row>
    <row r="1085" customFormat="false" ht="15" hidden="false" customHeight="false" outlineLevel="0" collapsed="false">
      <c r="K1085" s="24" t="n">
        <f aca="false">IF(Search!$B$3="",0,IF($A1085="",N(K1084),IF(ISNUMBER(SEARCH(Search!$B$3,$A1085&amp;"")),N(K1084)+1,N(K1084))))</f>
        <v>0</v>
      </c>
    </row>
    <row r="1086" customFormat="false" ht="15" hidden="false" customHeight="false" outlineLevel="0" collapsed="false">
      <c r="K1086" s="24" t="n">
        <f aca="false">IF(Search!$B$3="",0,IF($A1086="",N(K1085),IF(ISNUMBER(SEARCH(Search!$B$3,$A1086&amp;"")),N(K1085)+1,N(K1085))))</f>
        <v>0</v>
      </c>
    </row>
    <row r="1087" customFormat="false" ht="15" hidden="false" customHeight="false" outlineLevel="0" collapsed="false">
      <c r="K1087" s="24" t="n">
        <f aca="false">IF(Search!$B$3="",0,IF($A1087="",N(K1086),IF(ISNUMBER(SEARCH(Search!$B$3,$A1087&amp;"")),N(K1086)+1,N(K1086))))</f>
        <v>0</v>
      </c>
    </row>
    <row r="1088" customFormat="false" ht="15" hidden="false" customHeight="false" outlineLevel="0" collapsed="false">
      <c r="K1088" s="24" t="n">
        <f aca="false">IF(Search!$B$3="",0,IF($A1088="",N(K1087),IF(ISNUMBER(SEARCH(Search!$B$3,$A1088&amp;"")),N(K1087)+1,N(K1087))))</f>
        <v>0</v>
      </c>
    </row>
    <row r="1089" customFormat="false" ht="15" hidden="false" customHeight="false" outlineLevel="0" collapsed="false">
      <c r="K1089" s="24" t="n">
        <f aca="false">IF(Search!$B$3="",0,IF($A1089="",N(K1088),IF(ISNUMBER(SEARCH(Search!$B$3,$A1089&amp;"")),N(K1088)+1,N(K1088))))</f>
        <v>0</v>
      </c>
    </row>
    <row r="1090" customFormat="false" ht="15" hidden="false" customHeight="false" outlineLevel="0" collapsed="false">
      <c r="K1090" s="24" t="n">
        <f aca="false">IF(Search!$B$3="",0,IF($A1090="",N(K1089),IF(ISNUMBER(SEARCH(Search!$B$3,$A1090&amp;"")),N(K1089)+1,N(K1089))))</f>
        <v>0</v>
      </c>
    </row>
    <row r="1091" customFormat="false" ht="15" hidden="false" customHeight="false" outlineLevel="0" collapsed="false">
      <c r="K1091" s="24" t="n">
        <f aca="false">IF(Search!$B$3="",0,IF($A1091="",N(K1090),IF(ISNUMBER(SEARCH(Search!$B$3,$A1091&amp;"")),N(K1090)+1,N(K1090))))</f>
        <v>0</v>
      </c>
    </row>
    <row r="1092" customFormat="false" ht="15" hidden="false" customHeight="false" outlineLevel="0" collapsed="false">
      <c r="K1092" s="24" t="n">
        <f aca="false">IF(Search!$B$3="",0,IF($A1092="",N(K1091),IF(ISNUMBER(SEARCH(Search!$B$3,$A1092&amp;"")),N(K1091)+1,N(K1091))))</f>
        <v>0</v>
      </c>
    </row>
    <row r="1093" customFormat="false" ht="15" hidden="false" customHeight="false" outlineLevel="0" collapsed="false">
      <c r="K1093" s="24" t="n">
        <f aca="false">IF(Search!$B$3="",0,IF($A1093="",N(K1092),IF(ISNUMBER(SEARCH(Search!$B$3,$A1093&amp;"")),N(K1092)+1,N(K1092))))</f>
        <v>0</v>
      </c>
    </row>
    <row r="1094" customFormat="false" ht="15" hidden="false" customHeight="false" outlineLevel="0" collapsed="false">
      <c r="K1094" s="24" t="n">
        <f aca="false">IF(Search!$B$3="",0,IF($A1094="",N(K1093),IF(ISNUMBER(SEARCH(Search!$B$3,$A1094&amp;"")),N(K1093)+1,N(K1093))))</f>
        <v>0</v>
      </c>
    </row>
    <row r="1095" customFormat="false" ht="15" hidden="false" customHeight="false" outlineLevel="0" collapsed="false">
      <c r="K1095" s="24" t="n">
        <f aca="false">IF(Search!$B$3="",0,IF($A1095="",N(K1094),IF(ISNUMBER(SEARCH(Search!$B$3,$A1095&amp;"")),N(K1094)+1,N(K1094))))</f>
        <v>0</v>
      </c>
    </row>
    <row r="1096" customFormat="false" ht="15" hidden="false" customHeight="false" outlineLevel="0" collapsed="false">
      <c r="K1096" s="24" t="n">
        <f aca="false">IF(Search!$B$3="",0,IF($A1096="",N(K1095),IF(ISNUMBER(SEARCH(Search!$B$3,$A1096&amp;"")),N(K1095)+1,N(K1095))))</f>
        <v>0</v>
      </c>
    </row>
    <row r="1097" customFormat="false" ht="15" hidden="false" customHeight="false" outlineLevel="0" collapsed="false">
      <c r="K1097" s="24" t="n">
        <f aca="false">IF(Search!$B$3="",0,IF($A1097="",N(K1096),IF(ISNUMBER(SEARCH(Search!$B$3,$A1097&amp;"")),N(K1096)+1,N(K1096))))</f>
        <v>0</v>
      </c>
    </row>
    <row r="1098" customFormat="false" ht="15" hidden="false" customHeight="false" outlineLevel="0" collapsed="false">
      <c r="K1098" s="24" t="n">
        <f aca="false">IF(Search!$B$3="",0,IF($A1098="",N(K1097),IF(ISNUMBER(SEARCH(Search!$B$3,$A1098&amp;"")),N(K1097)+1,N(K1097))))</f>
        <v>0</v>
      </c>
    </row>
    <row r="1099" customFormat="false" ht="15" hidden="false" customHeight="false" outlineLevel="0" collapsed="false">
      <c r="K1099" s="24" t="n">
        <f aca="false">IF(Search!$B$3="",0,IF($A1099="",N(K1098),IF(ISNUMBER(SEARCH(Search!$B$3,$A1099&amp;"")),N(K1098)+1,N(K1098))))</f>
        <v>0</v>
      </c>
    </row>
    <row r="1100" customFormat="false" ht="15" hidden="false" customHeight="false" outlineLevel="0" collapsed="false">
      <c r="K1100" s="24" t="n">
        <f aca="false">IF(Search!$B$3="",0,IF($A1100="",N(K1099),IF(ISNUMBER(SEARCH(Search!$B$3,$A1100&amp;"")),N(K1099)+1,N(K1099))))</f>
        <v>0</v>
      </c>
    </row>
    <row r="1101" customFormat="false" ht="15" hidden="false" customHeight="false" outlineLevel="0" collapsed="false">
      <c r="K1101" s="24" t="n">
        <f aca="false">IF(Search!$B$3="",0,IF($A1101="",N(K1100),IF(ISNUMBER(SEARCH(Search!$B$3,$A1101&amp;"")),N(K1100)+1,N(K1100))))</f>
        <v>0</v>
      </c>
    </row>
    <row r="1102" customFormat="false" ht="15" hidden="false" customHeight="false" outlineLevel="0" collapsed="false">
      <c r="K1102" s="24" t="n">
        <f aca="false">IF(Search!$B$3="",0,IF($A1102="",N(K1101),IF(ISNUMBER(SEARCH(Search!$B$3,$A1102&amp;"")),N(K1101)+1,N(K1101))))</f>
        <v>0</v>
      </c>
    </row>
    <row r="1103" customFormat="false" ht="15" hidden="false" customHeight="false" outlineLevel="0" collapsed="false">
      <c r="K1103" s="24" t="n">
        <f aca="false">IF(Search!$B$3="",0,IF($A1103="",N(K1102),IF(ISNUMBER(SEARCH(Search!$B$3,$A1103&amp;"")),N(K1102)+1,N(K1102))))</f>
        <v>0</v>
      </c>
    </row>
    <row r="1104" customFormat="false" ht="15" hidden="false" customHeight="false" outlineLevel="0" collapsed="false">
      <c r="K1104" s="24" t="n">
        <f aca="false">IF(Search!$B$3="",0,IF($A1104="",N(K1103),IF(ISNUMBER(SEARCH(Search!$B$3,$A1104&amp;"")),N(K1103)+1,N(K1103))))</f>
        <v>0</v>
      </c>
    </row>
    <row r="1105" customFormat="false" ht="15" hidden="false" customHeight="false" outlineLevel="0" collapsed="false">
      <c r="K1105" s="24" t="n">
        <f aca="false">IF(Search!$B$3="",0,IF($A1105="",N(K1104),IF(ISNUMBER(SEARCH(Search!$B$3,$A1105&amp;"")),N(K1104)+1,N(K1104))))</f>
        <v>0</v>
      </c>
    </row>
    <row r="1106" customFormat="false" ht="15" hidden="false" customHeight="false" outlineLevel="0" collapsed="false">
      <c r="K1106" s="24" t="n">
        <f aca="false">IF(Search!$B$3="",0,IF($A1106="",N(K1105),IF(ISNUMBER(SEARCH(Search!$B$3,$A1106&amp;"")),N(K1105)+1,N(K1105))))</f>
        <v>0</v>
      </c>
    </row>
    <row r="1107" customFormat="false" ht="15" hidden="false" customHeight="false" outlineLevel="0" collapsed="false">
      <c r="K1107" s="24" t="n">
        <f aca="false">IF(Search!$B$3="",0,IF($A1107="",N(K1106),IF(ISNUMBER(SEARCH(Search!$B$3,$A1107&amp;"")),N(K1106)+1,N(K1106))))</f>
        <v>0</v>
      </c>
    </row>
    <row r="1108" customFormat="false" ht="15" hidden="false" customHeight="false" outlineLevel="0" collapsed="false">
      <c r="K1108" s="24" t="n">
        <f aca="false">IF(Search!$B$3="",0,IF($A1108="",N(K1107),IF(ISNUMBER(SEARCH(Search!$B$3,$A1108&amp;"")),N(K1107)+1,N(K1107))))</f>
        <v>0</v>
      </c>
    </row>
    <row r="1109" customFormat="false" ht="15" hidden="false" customHeight="false" outlineLevel="0" collapsed="false">
      <c r="K1109" s="24" t="n">
        <f aca="false">IF(Search!$B$3="",0,IF($A1109="",N(K1108),IF(ISNUMBER(SEARCH(Search!$B$3,$A1109&amp;"")),N(K1108)+1,N(K1108))))</f>
        <v>0</v>
      </c>
    </row>
    <row r="1110" customFormat="false" ht="15" hidden="false" customHeight="false" outlineLevel="0" collapsed="false">
      <c r="K1110" s="24" t="n">
        <f aca="false">IF(Search!$B$3="",0,IF($A1110="",N(K1109),IF(ISNUMBER(SEARCH(Search!$B$3,$A1110&amp;"")),N(K1109)+1,N(K1109))))</f>
        <v>0</v>
      </c>
    </row>
    <row r="1111" customFormat="false" ht="15" hidden="false" customHeight="false" outlineLevel="0" collapsed="false">
      <c r="K1111" s="24" t="n">
        <f aca="false">IF(Search!$B$3="",0,IF($A1111="",N(K1110),IF(ISNUMBER(SEARCH(Search!$B$3,$A1111&amp;"")),N(K1110)+1,N(K1110))))</f>
        <v>0</v>
      </c>
    </row>
    <row r="1112" customFormat="false" ht="15" hidden="false" customHeight="false" outlineLevel="0" collapsed="false">
      <c r="K1112" s="24" t="n">
        <f aca="false">IF(Search!$B$3="",0,IF($A1112="",N(K1111),IF(ISNUMBER(SEARCH(Search!$B$3,$A1112&amp;"")),N(K1111)+1,N(K1111))))</f>
        <v>0</v>
      </c>
    </row>
    <row r="1113" customFormat="false" ht="15" hidden="false" customHeight="false" outlineLevel="0" collapsed="false">
      <c r="K1113" s="24" t="n">
        <f aca="false">IF(Search!$B$3="",0,IF($A1113="",N(K1112),IF(ISNUMBER(SEARCH(Search!$B$3,$A1113&amp;"")),N(K1112)+1,N(K1112))))</f>
        <v>0</v>
      </c>
    </row>
    <row r="1114" customFormat="false" ht="15" hidden="false" customHeight="false" outlineLevel="0" collapsed="false">
      <c r="K1114" s="24" t="n">
        <f aca="false">IF(Search!$B$3="",0,IF($A1114="",N(K1113),IF(ISNUMBER(SEARCH(Search!$B$3,$A1114&amp;"")),N(K1113)+1,N(K1113))))</f>
        <v>0</v>
      </c>
    </row>
    <row r="1115" customFormat="false" ht="15" hidden="false" customHeight="false" outlineLevel="0" collapsed="false">
      <c r="K1115" s="24" t="n">
        <f aca="false">IF(Search!$B$3="",0,IF($A1115="",N(K1114),IF(ISNUMBER(SEARCH(Search!$B$3,$A1115&amp;"")),N(K1114)+1,N(K1114))))</f>
        <v>0</v>
      </c>
    </row>
    <row r="1116" customFormat="false" ht="15" hidden="false" customHeight="false" outlineLevel="0" collapsed="false">
      <c r="K1116" s="24" t="n">
        <f aca="false">IF(Search!$B$3="",0,IF($A1116="",N(K1115),IF(ISNUMBER(SEARCH(Search!$B$3,$A1116&amp;"")),N(K1115)+1,N(K1115))))</f>
        <v>0</v>
      </c>
    </row>
    <row r="1117" customFormat="false" ht="15" hidden="false" customHeight="false" outlineLevel="0" collapsed="false">
      <c r="K1117" s="24" t="n">
        <f aca="false">IF(Search!$B$3="",0,IF($A1117="",N(K1116),IF(ISNUMBER(SEARCH(Search!$B$3,$A1117&amp;"")),N(K1116)+1,N(K1116))))</f>
        <v>0</v>
      </c>
    </row>
    <row r="1118" customFormat="false" ht="15" hidden="false" customHeight="false" outlineLevel="0" collapsed="false">
      <c r="K1118" s="24" t="n">
        <f aca="false">IF(Search!$B$3="",0,IF($A1118="",N(K1117),IF(ISNUMBER(SEARCH(Search!$B$3,$A1118&amp;"")),N(K1117)+1,N(K1117))))</f>
        <v>0</v>
      </c>
    </row>
    <row r="1119" customFormat="false" ht="15" hidden="false" customHeight="false" outlineLevel="0" collapsed="false">
      <c r="K1119" s="24" t="n">
        <f aca="false">IF(Search!$B$3="",0,IF($A1119="",N(K1118),IF(ISNUMBER(SEARCH(Search!$B$3,$A1119&amp;"")),N(K1118)+1,N(K1118))))</f>
        <v>0</v>
      </c>
    </row>
    <row r="1120" customFormat="false" ht="15" hidden="false" customHeight="false" outlineLevel="0" collapsed="false">
      <c r="K1120" s="24" t="n">
        <f aca="false">IF(Search!$B$3="",0,IF($A1120="",N(K1119),IF(ISNUMBER(SEARCH(Search!$B$3,$A1120&amp;"")),N(K1119)+1,N(K1119))))</f>
        <v>0</v>
      </c>
    </row>
    <row r="1121" customFormat="false" ht="15" hidden="false" customHeight="false" outlineLevel="0" collapsed="false">
      <c r="K1121" s="24" t="n">
        <f aca="false">IF(Search!$B$3="",0,IF($A1121="",N(K1120),IF(ISNUMBER(SEARCH(Search!$B$3,$A1121&amp;"")),N(K1120)+1,N(K1120))))</f>
        <v>0</v>
      </c>
    </row>
    <row r="1122" customFormat="false" ht="15" hidden="false" customHeight="false" outlineLevel="0" collapsed="false">
      <c r="K1122" s="24" t="n">
        <f aca="false">IF(Search!$B$3="",0,IF($A1122="",N(K1121),IF(ISNUMBER(SEARCH(Search!$B$3,$A1122&amp;"")),N(K1121)+1,N(K1121))))</f>
        <v>0</v>
      </c>
    </row>
    <row r="1123" customFormat="false" ht="15" hidden="false" customHeight="false" outlineLevel="0" collapsed="false">
      <c r="K1123" s="24" t="n">
        <f aca="false">IF(Search!$B$3="",0,IF($A1123="",N(K1122),IF(ISNUMBER(SEARCH(Search!$B$3,$A1123&amp;"")),N(K1122)+1,N(K1122))))</f>
        <v>0</v>
      </c>
    </row>
    <row r="1124" customFormat="false" ht="15" hidden="false" customHeight="false" outlineLevel="0" collapsed="false">
      <c r="K1124" s="24" t="n">
        <f aca="false">IF(Search!$B$3="",0,IF($A1124="",N(K1123),IF(ISNUMBER(SEARCH(Search!$B$3,$A1124&amp;"")),N(K1123)+1,N(K1123))))</f>
        <v>0</v>
      </c>
    </row>
    <row r="1125" customFormat="false" ht="15" hidden="false" customHeight="false" outlineLevel="0" collapsed="false">
      <c r="K1125" s="24" t="n">
        <f aca="false">IF(Search!$B$3="",0,IF($A1125="",N(K1124),IF(ISNUMBER(SEARCH(Search!$B$3,$A1125&amp;"")),N(K1124)+1,N(K1124))))</f>
        <v>0</v>
      </c>
    </row>
    <row r="1126" customFormat="false" ht="15" hidden="false" customHeight="false" outlineLevel="0" collapsed="false">
      <c r="K1126" s="24" t="n">
        <f aca="false">IF(Search!$B$3="",0,IF($A1126="",N(K1125),IF(ISNUMBER(SEARCH(Search!$B$3,$A1126&amp;"")),N(K1125)+1,N(K1125))))</f>
        <v>0</v>
      </c>
    </row>
    <row r="1127" customFormat="false" ht="15" hidden="false" customHeight="false" outlineLevel="0" collapsed="false">
      <c r="K1127" s="24" t="n">
        <f aca="false">IF(Search!$B$3="",0,IF($A1127="",N(K1126),IF(ISNUMBER(SEARCH(Search!$B$3,$A1127&amp;"")),N(K1126)+1,N(K1126))))</f>
        <v>0</v>
      </c>
    </row>
    <row r="1128" customFormat="false" ht="15" hidden="false" customHeight="false" outlineLevel="0" collapsed="false">
      <c r="K1128" s="24" t="n">
        <f aca="false">IF(Search!$B$3="",0,IF($A1128="",N(K1127),IF(ISNUMBER(SEARCH(Search!$B$3,$A1128&amp;"")),N(K1127)+1,N(K1127))))</f>
        <v>0</v>
      </c>
    </row>
    <row r="1129" customFormat="false" ht="15" hidden="false" customHeight="false" outlineLevel="0" collapsed="false">
      <c r="K1129" s="24" t="n">
        <f aca="false">IF(Search!$B$3="",0,IF($A1129="",N(K1128),IF(ISNUMBER(SEARCH(Search!$B$3,$A1129&amp;"")),N(K1128)+1,N(K1128))))</f>
        <v>0</v>
      </c>
    </row>
    <row r="1130" customFormat="false" ht="15" hidden="false" customHeight="false" outlineLevel="0" collapsed="false">
      <c r="K1130" s="24" t="n">
        <f aca="false">IF(Search!$B$3="",0,IF($A1130="",N(K1129),IF(ISNUMBER(SEARCH(Search!$B$3,$A1130&amp;"")),N(K1129)+1,N(K1129))))</f>
        <v>0</v>
      </c>
    </row>
    <row r="1131" customFormat="false" ht="15" hidden="false" customHeight="false" outlineLevel="0" collapsed="false">
      <c r="K1131" s="24" t="n">
        <f aca="false">IF(Search!$B$3="",0,IF($A1131="",N(K1130),IF(ISNUMBER(SEARCH(Search!$B$3,$A1131&amp;"")),N(K1130)+1,N(K1130))))</f>
        <v>0</v>
      </c>
    </row>
    <row r="1132" customFormat="false" ht="15" hidden="false" customHeight="false" outlineLevel="0" collapsed="false">
      <c r="K1132" s="24" t="n">
        <f aca="false">IF(Search!$B$3="",0,IF($A1132="",N(K1131),IF(ISNUMBER(SEARCH(Search!$B$3,$A1132&amp;"")),N(K1131)+1,N(K1131))))</f>
        <v>0</v>
      </c>
    </row>
    <row r="1133" customFormat="false" ht="15" hidden="false" customHeight="false" outlineLevel="0" collapsed="false">
      <c r="K1133" s="24" t="n">
        <f aca="false">IF(Search!$B$3="",0,IF($A1133="",N(K1132),IF(ISNUMBER(SEARCH(Search!$B$3,$A1133&amp;"")),N(K1132)+1,N(K1132))))</f>
        <v>0</v>
      </c>
    </row>
    <row r="1134" customFormat="false" ht="15" hidden="false" customHeight="false" outlineLevel="0" collapsed="false">
      <c r="K1134" s="24" t="n">
        <f aca="false">IF(Search!$B$3="",0,IF($A1134="",N(K1133),IF(ISNUMBER(SEARCH(Search!$B$3,$A1134&amp;"")),N(K1133)+1,N(K1133))))</f>
        <v>0</v>
      </c>
    </row>
    <row r="1135" customFormat="false" ht="15" hidden="false" customHeight="false" outlineLevel="0" collapsed="false">
      <c r="K1135" s="24" t="n">
        <f aca="false">IF(Search!$B$3="",0,IF($A1135="",N(K1134),IF(ISNUMBER(SEARCH(Search!$B$3,$A1135&amp;"")),N(K1134)+1,N(K1134))))</f>
        <v>0</v>
      </c>
    </row>
    <row r="1136" customFormat="false" ht="15" hidden="false" customHeight="false" outlineLevel="0" collapsed="false">
      <c r="K1136" s="24" t="n">
        <f aca="false">IF(Search!$B$3="",0,IF($A1136="",N(K1135),IF(ISNUMBER(SEARCH(Search!$B$3,$A1136&amp;"")),N(K1135)+1,N(K1135))))</f>
        <v>0</v>
      </c>
    </row>
    <row r="1137" customFormat="false" ht="15" hidden="false" customHeight="false" outlineLevel="0" collapsed="false">
      <c r="K1137" s="24" t="n">
        <f aca="false">IF(Search!$B$3="",0,IF($A1137="",N(K1136),IF(ISNUMBER(SEARCH(Search!$B$3,$A1137&amp;"")),N(K1136)+1,N(K1136))))</f>
        <v>0</v>
      </c>
    </row>
    <row r="1138" customFormat="false" ht="15" hidden="false" customHeight="false" outlineLevel="0" collapsed="false">
      <c r="K1138" s="24" t="n">
        <f aca="false">IF(Search!$B$3="",0,IF($A1138="",N(K1137),IF(ISNUMBER(SEARCH(Search!$B$3,$A1138&amp;"")),N(K1137)+1,N(K1137))))</f>
        <v>0</v>
      </c>
    </row>
    <row r="1139" customFormat="false" ht="15" hidden="false" customHeight="false" outlineLevel="0" collapsed="false">
      <c r="K1139" s="24" t="n">
        <f aca="false">IF(Search!$B$3="",0,IF($A1139="",N(K1138),IF(ISNUMBER(SEARCH(Search!$B$3,$A1139&amp;"")),N(K1138)+1,N(K1138))))</f>
        <v>0</v>
      </c>
    </row>
    <row r="1140" customFormat="false" ht="15" hidden="false" customHeight="false" outlineLevel="0" collapsed="false">
      <c r="K1140" s="24" t="n">
        <f aca="false">IF(Search!$B$3="",0,IF($A1140="",N(K1139),IF(ISNUMBER(SEARCH(Search!$B$3,$A1140&amp;"")),N(K1139)+1,N(K1139))))</f>
        <v>0</v>
      </c>
    </row>
    <row r="1141" customFormat="false" ht="15" hidden="false" customHeight="false" outlineLevel="0" collapsed="false">
      <c r="K1141" s="24" t="n">
        <f aca="false">IF(Search!$B$3="",0,IF($A1141="",N(K1140),IF(ISNUMBER(SEARCH(Search!$B$3,$A1141&amp;"")),N(K1140)+1,N(K1140))))</f>
        <v>0</v>
      </c>
    </row>
    <row r="1142" customFormat="false" ht="15" hidden="false" customHeight="false" outlineLevel="0" collapsed="false">
      <c r="K1142" s="24" t="n">
        <f aca="false">IF(Search!$B$3="",0,IF($A1142="",N(K1141),IF(ISNUMBER(SEARCH(Search!$B$3,$A1142&amp;"")),N(K1141)+1,N(K1141))))</f>
        <v>0</v>
      </c>
    </row>
    <row r="1143" customFormat="false" ht="15" hidden="false" customHeight="false" outlineLevel="0" collapsed="false">
      <c r="K1143" s="24" t="n">
        <f aca="false">IF(Search!$B$3="",0,IF($A1143="",N(K1142),IF(ISNUMBER(SEARCH(Search!$B$3,$A1143&amp;"")),N(K1142)+1,N(K1142))))</f>
        <v>0</v>
      </c>
    </row>
    <row r="1144" customFormat="false" ht="15" hidden="false" customHeight="false" outlineLevel="0" collapsed="false">
      <c r="K1144" s="24" t="n">
        <f aca="false">IF(Search!$B$3="",0,IF($A1144="",N(K1143),IF(ISNUMBER(SEARCH(Search!$B$3,$A1144&amp;"")),N(K1143)+1,N(K1143))))</f>
        <v>0</v>
      </c>
    </row>
    <row r="1145" customFormat="false" ht="15" hidden="false" customHeight="false" outlineLevel="0" collapsed="false">
      <c r="K1145" s="24" t="n">
        <f aca="false">IF(Search!$B$3="",0,IF($A1145="",N(K1144),IF(ISNUMBER(SEARCH(Search!$B$3,$A1145&amp;"")),N(K1144)+1,N(K1144))))</f>
        <v>0</v>
      </c>
    </row>
    <row r="1146" customFormat="false" ht="15" hidden="false" customHeight="false" outlineLevel="0" collapsed="false">
      <c r="K1146" s="24" t="n">
        <f aca="false">IF(Search!$B$3="",0,IF($A1146="",N(K1145),IF(ISNUMBER(SEARCH(Search!$B$3,$A1146&amp;"")),N(K1145)+1,N(K1145))))</f>
        <v>0</v>
      </c>
    </row>
    <row r="1147" customFormat="false" ht="15" hidden="false" customHeight="false" outlineLevel="0" collapsed="false">
      <c r="K1147" s="24" t="n">
        <f aca="false">IF(Search!$B$3="",0,IF($A1147="",N(K1146),IF(ISNUMBER(SEARCH(Search!$B$3,$A1147&amp;"")),N(K1146)+1,N(K1146))))</f>
        <v>0</v>
      </c>
    </row>
    <row r="1148" customFormat="false" ht="15" hidden="false" customHeight="false" outlineLevel="0" collapsed="false">
      <c r="K1148" s="24" t="n">
        <f aca="false">IF(Search!$B$3="",0,IF($A1148="",N(K1147),IF(ISNUMBER(SEARCH(Search!$B$3,$A1148&amp;"")),N(K1147)+1,N(K1147))))</f>
        <v>0</v>
      </c>
    </row>
    <row r="1149" customFormat="false" ht="15" hidden="false" customHeight="false" outlineLevel="0" collapsed="false">
      <c r="K1149" s="24" t="n">
        <f aca="false">IF(Search!$B$3="",0,IF($A1149="",N(K1148),IF(ISNUMBER(SEARCH(Search!$B$3,$A1149&amp;"")),N(K1148)+1,N(K1148))))</f>
        <v>0</v>
      </c>
    </row>
    <row r="1150" customFormat="false" ht="15" hidden="false" customHeight="false" outlineLevel="0" collapsed="false">
      <c r="K1150" s="24" t="n">
        <f aca="false">IF(Search!$B$3="",0,IF($A1150="",N(K1149),IF(ISNUMBER(SEARCH(Search!$B$3,$A1150&amp;"")),N(K1149)+1,N(K1149))))</f>
        <v>0</v>
      </c>
    </row>
    <row r="1151" customFormat="false" ht="15" hidden="false" customHeight="false" outlineLevel="0" collapsed="false">
      <c r="K1151" s="24" t="n">
        <f aca="false">IF(Search!$B$3="",0,IF($A1151="",N(K1150),IF(ISNUMBER(SEARCH(Search!$B$3,$A1151&amp;"")),N(K1150)+1,N(K1150))))</f>
        <v>0</v>
      </c>
    </row>
    <row r="1152" customFormat="false" ht="15" hidden="false" customHeight="false" outlineLevel="0" collapsed="false">
      <c r="K1152" s="24" t="n">
        <f aca="false">IF(Search!$B$3="",0,IF($A1152="",N(K1151),IF(ISNUMBER(SEARCH(Search!$B$3,$A1152&amp;"")),N(K1151)+1,N(K1151))))</f>
        <v>0</v>
      </c>
    </row>
    <row r="1153" customFormat="false" ht="15" hidden="false" customHeight="false" outlineLevel="0" collapsed="false">
      <c r="K1153" s="24" t="n">
        <f aca="false">IF(Search!$B$3="",0,IF($A1153="",N(K1152),IF(ISNUMBER(SEARCH(Search!$B$3,$A1153&amp;"")),N(K1152)+1,N(K1152))))</f>
        <v>0</v>
      </c>
    </row>
    <row r="1154" customFormat="false" ht="15" hidden="false" customHeight="false" outlineLevel="0" collapsed="false">
      <c r="K1154" s="24" t="n">
        <f aca="false">IF(Search!$B$3="",0,IF($A1154="",N(K1153),IF(ISNUMBER(SEARCH(Search!$B$3,$A1154&amp;"")),N(K1153)+1,N(K1153))))</f>
        <v>0</v>
      </c>
    </row>
    <row r="1155" customFormat="false" ht="15" hidden="false" customHeight="false" outlineLevel="0" collapsed="false">
      <c r="K1155" s="24" t="n">
        <f aca="false">IF(Search!$B$3="",0,IF($A1155="",N(K1154),IF(ISNUMBER(SEARCH(Search!$B$3,$A1155&amp;"")),N(K1154)+1,N(K1154))))</f>
        <v>0</v>
      </c>
    </row>
    <row r="1156" customFormat="false" ht="15" hidden="false" customHeight="false" outlineLevel="0" collapsed="false">
      <c r="K1156" s="24" t="n">
        <f aca="false">IF(Search!$B$3="",0,IF($A1156="",N(K1155),IF(ISNUMBER(SEARCH(Search!$B$3,$A1156&amp;"")),N(K1155)+1,N(K1155))))</f>
        <v>0</v>
      </c>
    </row>
    <row r="1157" customFormat="false" ht="15" hidden="false" customHeight="false" outlineLevel="0" collapsed="false">
      <c r="K1157" s="24" t="n">
        <f aca="false">IF(Search!$B$3="",0,IF($A1157="",N(K1156),IF(ISNUMBER(SEARCH(Search!$B$3,$A1157&amp;"")),N(K1156)+1,N(K1156))))</f>
        <v>0</v>
      </c>
    </row>
    <row r="1158" customFormat="false" ht="15" hidden="false" customHeight="false" outlineLevel="0" collapsed="false">
      <c r="K1158" s="24" t="n">
        <f aca="false">IF(Search!$B$3="",0,IF($A1158="",N(K1157),IF(ISNUMBER(SEARCH(Search!$B$3,$A1158&amp;"")),N(K1157)+1,N(K1157))))</f>
        <v>0</v>
      </c>
    </row>
    <row r="1159" customFormat="false" ht="15" hidden="false" customHeight="false" outlineLevel="0" collapsed="false">
      <c r="K1159" s="24" t="n">
        <f aca="false">IF(Search!$B$3="",0,IF($A1159="",N(K1158),IF(ISNUMBER(SEARCH(Search!$B$3,$A1159&amp;"")),N(K1158)+1,N(K1158))))</f>
        <v>0</v>
      </c>
    </row>
    <row r="1160" customFormat="false" ht="15" hidden="false" customHeight="false" outlineLevel="0" collapsed="false">
      <c r="K1160" s="24" t="n">
        <f aca="false">IF(Search!$B$3="",0,IF($A1160="",N(K1159),IF(ISNUMBER(SEARCH(Search!$B$3,$A1160&amp;"")),N(K1159)+1,N(K1159))))</f>
        <v>0</v>
      </c>
    </row>
    <row r="1161" customFormat="false" ht="15" hidden="false" customHeight="false" outlineLevel="0" collapsed="false">
      <c r="K1161" s="24" t="n">
        <f aca="false">IF(Search!$B$3="",0,IF($A1161="",N(K1160),IF(ISNUMBER(SEARCH(Search!$B$3,$A1161&amp;"")),N(K1160)+1,N(K1160))))</f>
        <v>0</v>
      </c>
    </row>
    <row r="1162" customFormat="false" ht="15" hidden="false" customHeight="false" outlineLevel="0" collapsed="false">
      <c r="K1162" s="24" t="n">
        <f aca="false">IF(Search!$B$3="",0,IF($A1162="",N(K1161),IF(ISNUMBER(SEARCH(Search!$B$3,$A1162&amp;"")),N(K1161)+1,N(K1161))))</f>
        <v>0</v>
      </c>
    </row>
    <row r="1163" customFormat="false" ht="15" hidden="false" customHeight="false" outlineLevel="0" collapsed="false">
      <c r="K1163" s="24" t="n">
        <f aca="false">IF(Search!$B$3="",0,IF($A1163="",N(K1162),IF(ISNUMBER(SEARCH(Search!$B$3,$A1163&amp;"")),N(K1162)+1,N(K1162))))</f>
        <v>0</v>
      </c>
    </row>
    <row r="1164" customFormat="false" ht="15" hidden="false" customHeight="false" outlineLevel="0" collapsed="false">
      <c r="K1164" s="24" t="n">
        <f aca="false">IF(Search!$B$3="",0,IF($A1164="",N(K1163),IF(ISNUMBER(SEARCH(Search!$B$3,$A1164&amp;"")),N(K1163)+1,N(K1163))))</f>
        <v>0</v>
      </c>
    </row>
    <row r="1165" customFormat="false" ht="15" hidden="false" customHeight="false" outlineLevel="0" collapsed="false">
      <c r="K1165" s="24" t="n">
        <f aca="false">IF(Search!$B$3="",0,IF($A1165="",N(K1164),IF(ISNUMBER(SEARCH(Search!$B$3,$A1165&amp;"")),N(K1164)+1,N(K1164))))</f>
        <v>0</v>
      </c>
    </row>
    <row r="1166" customFormat="false" ht="15" hidden="false" customHeight="false" outlineLevel="0" collapsed="false">
      <c r="K1166" s="24" t="n">
        <f aca="false">IF(Search!$B$3="",0,IF($A1166="",N(K1165),IF(ISNUMBER(SEARCH(Search!$B$3,$A1166&amp;"")),N(K1165)+1,N(K1165))))</f>
        <v>0</v>
      </c>
    </row>
    <row r="1167" customFormat="false" ht="15" hidden="false" customHeight="false" outlineLevel="0" collapsed="false">
      <c r="K1167" s="24" t="n">
        <f aca="false">IF(Search!$B$3="",0,IF($A1167="",N(K1166),IF(ISNUMBER(SEARCH(Search!$B$3,$A1167&amp;"")),N(K1166)+1,N(K1166))))</f>
        <v>0</v>
      </c>
    </row>
    <row r="1168" customFormat="false" ht="15" hidden="false" customHeight="false" outlineLevel="0" collapsed="false">
      <c r="K1168" s="24" t="n">
        <f aca="false">IF(Search!$B$3="",0,IF($A1168="",N(K1167),IF(ISNUMBER(SEARCH(Search!$B$3,$A1168&amp;"")),N(K1167)+1,N(K1167))))</f>
        <v>0</v>
      </c>
    </row>
    <row r="1169" customFormat="false" ht="15" hidden="false" customHeight="false" outlineLevel="0" collapsed="false">
      <c r="K1169" s="24" t="n">
        <f aca="false">IF(Search!$B$3="",0,IF($A1169="",N(K1168),IF(ISNUMBER(SEARCH(Search!$B$3,$A1169&amp;"")),N(K1168)+1,N(K1168))))</f>
        <v>0</v>
      </c>
    </row>
    <row r="1170" customFormat="false" ht="15" hidden="false" customHeight="false" outlineLevel="0" collapsed="false">
      <c r="K1170" s="24" t="n">
        <f aca="false">IF(Search!$B$3="",0,IF($A1170="",N(K1169),IF(ISNUMBER(SEARCH(Search!$B$3,$A1170&amp;"")),N(K1169)+1,N(K1169))))</f>
        <v>0</v>
      </c>
    </row>
    <row r="1171" customFormat="false" ht="15" hidden="false" customHeight="false" outlineLevel="0" collapsed="false">
      <c r="K1171" s="24" t="n">
        <f aca="false">IF(Search!$B$3="",0,IF($A1171="",N(K1170),IF(ISNUMBER(SEARCH(Search!$B$3,$A1171&amp;"")),N(K1170)+1,N(K1170))))</f>
        <v>0</v>
      </c>
    </row>
    <row r="1172" customFormat="false" ht="15" hidden="false" customHeight="false" outlineLevel="0" collapsed="false">
      <c r="K1172" s="24" t="n">
        <f aca="false">IF(Search!$B$3="",0,IF($A1172="",N(K1171),IF(ISNUMBER(SEARCH(Search!$B$3,$A1172&amp;"")),N(K1171)+1,N(K1171))))</f>
        <v>0</v>
      </c>
    </row>
    <row r="1173" customFormat="false" ht="15" hidden="false" customHeight="false" outlineLevel="0" collapsed="false">
      <c r="K1173" s="24" t="n">
        <f aca="false">IF(Search!$B$3="",0,IF($A1173="",N(K1172),IF(ISNUMBER(SEARCH(Search!$B$3,$A1173&amp;"")),N(K1172)+1,N(K1172))))</f>
        <v>0</v>
      </c>
    </row>
    <row r="1174" customFormat="false" ht="15" hidden="false" customHeight="false" outlineLevel="0" collapsed="false">
      <c r="K1174" s="24" t="n">
        <f aca="false">IF(Search!$B$3="",0,IF($A1174="",N(K1173),IF(ISNUMBER(SEARCH(Search!$B$3,$A1174&amp;"")),N(K1173)+1,N(K1173))))</f>
        <v>0</v>
      </c>
    </row>
    <row r="1175" customFormat="false" ht="15" hidden="false" customHeight="false" outlineLevel="0" collapsed="false">
      <c r="K1175" s="24" t="n">
        <f aca="false">IF(Search!$B$3="",0,IF($A1175="",N(K1174),IF(ISNUMBER(SEARCH(Search!$B$3,$A1175&amp;"")),N(K1174)+1,N(K1174))))</f>
        <v>0</v>
      </c>
    </row>
    <row r="1176" customFormat="false" ht="15" hidden="false" customHeight="false" outlineLevel="0" collapsed="false">
      <c r="K1176" s="24" t="n">
        <f aca="false">IF(Search!$B$3="",0,IF($A1176="",N(K1175),IF(ISNUMBER(SEARCH(Search!$B$3,$A1176&amp;"")),N(K1175)+1,N(K1175))))</f>
        <v>0</v>
      </c>
    </row>
    <row r="1177" customFormat="false" ht="15" hidden="false" customHeight="false" outlineLevel="0" collapsed="false">
      <c r="K1177" s="24" t="n">
        <f aca="false">IF(Search!$B$3="",0,IF($A1177="",N(K1176),IF(ISNUMBER(SEARCH(Search!$B$3,$A1177&amp;"")),N(K1176)+1,N(K1176))))</f>
        <v>0</v>
      </c>
    </row>
    <row r="1178" customFormat="false" ht="15" hidden="false" customHeight="false" outlineLevel="0" collapsed="false">
      <c r="K1178" s="24" t="n">
        <f aca="false">IF(Search!$B$3="",0,IF($A1178="",N(K1177),IF(ISNUMBER(SEARCH(Search!$B$3,$A1178&amp;"")),N(K1177)+1,N(K1177))))</f>
        <v>0</v>
      </c>
    </row>
    <row r="1179" customFormat="false" ht="15" hidden="false" customHeight="false" outlineLevel="0" collapsed="false">
      <c r="K1179" s="24" t="n">
        <f aca="false">IF(Search!$B$3="",0,IF($A1179="",N(K1178),IF(ISNUMBER(SEARCH(Search!$B$3,$A1179&amp;"")),N(K1178)+1,N(K1178))))</f>
        <v>0</v>
      </c>
    </row>
    <row r="1180" customFormat="false" ht="15" hidden="false" customHeight="false" outlineLevel="0" collapsed="false">
      <c r="K1180" s="24" t="n">
        <f aca="false">IF(Search!$B$3="",0,IF($A1180="",N(K1179),IF(ISNUMBER(SEARCH(Search!$B$3,$A1180&amp;"")),N(K1179)+1,N(K1179))))</f>
        <v>0</v>
      </c>
    </row>
    <row r="1181" customFormat="false" ht="15" hidden="false" customHeight="false" outlineLevel="0" collapsed="false">
      <c r="K1181" s="24" t="n">
        <f aca="false">IF(Search!$B$3="",0,IF($A1181="",N(K1180),IF(ISNUMBER(SEARCH(Search!$B$3,$A1181&amp;"")),N(K1180)+1,N(K1180))))</f>
        <v>0</v>
      </c>
    </row>
    <row r="1182" customFormat="false" ht="15" hidden="false" customHeight="false" outlineLevel="0" collapsed="false">
      <c r="K1182" s="24" t="n">
        <f aca="false">IF(Search!$B$3="",0,IF($A1182="",N(K1181),IF(ISNUMBER(SEARCH(Search!$B$3,$A1182&amp;"")),N(K1181)+1,N(K1181))))</f>
        <v>0</v>
      </c>
    </row>
    <row r="1183" customFormat="false" ht="15" hidden="false" customHeight="false" outlineLevel="0" collapsed="false">
      <c r="K1183" s="24" t="n">
        <f aca="false">IF(Search!$B$3="",0,IF($A1183="",N(K1182),IF(ISNUMBER(SEARCH(Search!$B$3,$A1183&amp;"")),N(K1182)+1,N(K1182))))</f>
        <v>0</v>
      </c>
    </row>
    <row r="1184" customFormat="false" ht="15" hidden="false" customHeight="false" outlineLevel="0" collapsed="false">
      <c r="K1184" s="24" t="n">
        <f aca="false">IF(Search!$B$3="",0,IF($A1184="",N(K1183),IF(ISNUMBER(SEARCH(Search!$B$3,$A1184&amp;"")),N(K1183)+1,N(K1183))))</f>
        <v>0</v>
      </c>
    </row>
    <row r="1185" customFormat="false" ht="15" hidden="false" customHeight="false" outlineLevel="0" collapsed="false">
      <c r="K1185" s="24" t="n">
        <f aca="false">IF(Search!$B$3="",0,IF($A1185="",N(K1184),IF(ISNUMBER(SEARCH(Search!$B$3,$A1185&amp;"")),N(K1184)+1,N(K1184))))</f>
        <v>0</v>
      </c>
    </row>
    <row r="1186" customFormat="false" ht="15" hidden="false" customHeight="false" outlineLevel="0" collapsed="false">
      <c r="K1186" s="24" t="n">
        <f aca="false">IF(Search!$B$3="",0,IF($A1186="",N(K1185),IF(ISNUMBER(SEARCH(Search!$B$3,$A1186&amp;"")),N(K1185)+1,N(K1185))))</f>
        <v>0</v>
      </c>
    </row>
    <row r="1187" customFormat="false" ht="15" hidden="false" customHeight="false" outlineLevel="0" collapsed="false">
      <c r="K1187" s="24" t="n">
        <f aca="false">IF(Search!$B$3="",0,IF($A1187="",N(K1186),IF(ISNUMBER(SEARCH(Search!$B$3,$A1187&amp;"")),N(K1186)+1,N(K1186))))</f>
        <v>0</v>
      </c>
    </row>
    <row r="1188" customFormat="false" ht="15" hidden="false" customHeight="false" outlineLevel="0" collapsed="false">
      <c r="K1188" s="24" t="n">
        <f aca="false">IF(Search!$B$3="",0,IF($A1188="",N(K1187),IF(ISNUMBER(SEARCH(Search!$B$3,$A1188&amp;"")),N(K1187)+1,N(K1187))))</f>
        <v>0</v>
      </c>
    </row>
    <row r="1189" customFormat="false" ht="15" hidden="false" customHeight="false" outlineLevel="0" collapsed="false">
      <c r="K1189" s="24" t="n">
        <f aca="false">IF(Search!$B$3="",0,IF($A1189="",N(K1188),IF(ISNUMBER(SEARCH(Search!$B$3,$A1189&amp;"")),N(K1188)+1,N(K1188))))</f>
        <v>0</v>
      </c>
    </row>
    <row r="1190" customFormat="false" ht="15" hidden="false" customHeight="false" outlineLevel="0" collapsed="false">
      <c r="K1190" s="24" t="n">
        <f aca="false">IF(Search!$B$3="",0,IF($A1190="",N(K1189),IF(ISNUMBER(SEARCH(Search!$B$3,$A1190&amp;"")),N(K1189)+1,N(K1189))))</f>
        <v>0</v>
      </c>
    </row>
    <row r="1191" customFormat="false" ht="15" hidden="false" customHeight="false" outlineLevel="0" collapsed="false">
      <c r="K1191" s="24" t="n">
        <f aca="false">IF(Search!$B$3="",0,IF($A1191="",N(K1190),IF(ISNUMBER(SEARCH(Search!$B$3,$A1191&amp;"")),N(K1190)+1,N(K1190))))</f>
        <v>0</v>
      </c>
    </row>
    <row r="1192" customFormat="false" ht="15" hidden="false" customHeight="false" outlineLevel="0" collapsed="false">
      <c r="K1192" s="24" t="n">
        <f aca="false">IF(Search!$B$3="",0,IF($A1192="",N(K1191),IF(ISNUMBER(SEARCH(Search!$B$3,$A1192&amp;"")),N(K1191)+1,N(K1191))))</f>
        <v>0</v>
      </c>
    </row>
    <row r="1193" customFormat="false" ht="15" hidden="false" customHeight="false" outlineLevel="0" collapsed="false">
      <c r="K1193" s="24" t="n">
        <f aca="false">IF(Search!$B$3="",0,IF($A1193="",N(K1192),IF(ISNUMBER(SEARCH(Search!$B$3,$A1193&amp;"")),N(K1192)+1,N(K1192))))</f>
        <v>0</v>
      </c>
    </row>
    <row r="1194" customFormat="false" ht="15" hidden="false" customHeight="false" outlineLevel="0" collapsed="false">
      <c r="K1194" s="24" t="n">
        <f aca="false">IF(Search!$B$3="",0,IF($A1194="",N(K1193),IF(ISNUMBER(SEARCH(Search!$B$3,$A1194&amp;"")),N(K1193)+1,N(K1193))))</f>
        <v>0</v>
      </c>
    </row>
    <row r="1195" customFormat="false" ht="15" hidden="false" customHeight="false" outlineLevel="0" collapsed="false">
      <c r="K1195" s="24" t="n">
        <f aca="false">IF(Search!$B$3="",0,IF($A1195="",N(K1194),IF(ISNUMBER(SEARCH(Search!$B$3,$A1195&amp;"")),N(K1194)+1,N(K1194))))</f>
        <v>0</v>
      </c>
    </row>
    <row r="1196" customFormat="false" ht="15" hidden="false" customHeight="false" outlineLevel="0" collapsed="false">
      <c r="K1196" s="24" t="n">
        <f aca="false">IF(Search!$B$3="",0,IF($A1196="",N(K1195),IF(ISNUMBER(SEARCH(Search!$B$3,$A1196&amp;"")),N(K1195)+1,N(K1195))))</f>
        <v>0</v>
      </c>
    </row>
    <row r="1197" customFormat="false" ht="15" hidden="false" customHeight="false" outlineLevel="0" collapsed="false">
      <c r="K1197" s="24" t="n">
        <f aca="false">IF(Search!$B$3="",0,IF($A1197="",N(K1196),IF(ISNUMBER(SEARCH(Search!$B$3,$A1197&amp;"")),N(K1196)+1,N(K1196))))</f>
        <v>0</v>
      </c>
    </row>
    <row r="1198" customFormat="false" ht="15" hidden="false" customHeight="false" outlineLevel="0" collapsed="false">
      <c r="K1198" s="24" t="n">
        <f aca="false">IF(Search!$B$3="",0,IF($A1198="",N(K1197),IF(ISNUMBER(SEARCH(Search!$B$3,$A1198&amp;"")),N(K1197)+1,N(K1197))))</f>
        <v>0</v>
      </c>
    </row>
    <row r="1199" customFormat="false" ht="15" hidden="false" customHeight="false" outlineLevel="0" collapsed="false">
      <c r="K1199" s="24" t="n">
        <f aca="false">IF(Search!$B$3="",0,IF($A1199="",N(K1198),IF(ISNUMBER(SEARCH(Search!$B$3,$A1199&amp;"")),N(K1198)+1,N(K1198))))</f>
        <v>0</v>
      </c>
    </row>
    <row r="1200" customFormat="false" ht="15" hidden="false" customHeight="false" outlineLevel="0" collapsed="false">
      <c r="K1200" s="24" t="n">
        <f aca="false">IF(Search!$B$3="",0,IF($A1200="",N(K1199),IF(ISNUMBER(SEARCH(Search!$B$3,$A1200&amp;"")),N(K1199)+1,N(K1199))))</f>
        <v>0</v>
      </c>
    </row>
    <row r="1201" customFormat="false" ht="15" hidden="false" customHeight="false" outlineLevel="0" collapsed="false">
      <c r="K1201" s="24" t="n">
        <f aca="false">IF(Search!$B$3="",0,IF($A1201="",N(K1200),IF(ISNUMBER(SEARCH(Search!$B$3,$A1201&amp;"")),N(K1200)+1,N(K1200))))</f>
        <v>0</v>
      </c>
    </row>
    <row r="1202" customFormat="false" ht="15" hidden="false" customHeight="false" outlineLevel="0" collapsed="false">
      <c r="K1202" s="24" t="n">
        <f aca="false">IF(Search!$B$3="",0,IF($A1202="",N(K1201),IF(ISNUMBER(SEARCH(Search!$B$3,$A1202&amp;"")),N(K1201)+1,N(K1201))))</f>
        <v>0</v>
      </c>
    </row>
    <row r="1203" customFormat="false" ht="15" hidden="false" customHeight="false" outlineLevel="0" collapsed="false">
      <c r="K1203" s="24" t="n">
        <f aca="false">IF(Search!$B$3="",0,IF($A1203="",N(K1202),IF(ISNUMBER(SEARCH(Search!$B$3,$A1203&amp;"")),N(K1202)+1,N(K1202))))</f>
        <v>0</v>
      </c>
    </row>
    <row r="1204" customFormat="false" ht="15" hidden="false" customHeight="false" outlineLevel="0" collapsed="false">
      <c r="K1204" s="24" t="n">
        <f aca="false">IF(Search!$B$3="",0,IF($A1204="",N(K1203),IF(ISNUMBER(SEARCH(Search!$B$3,$A1204&amp;"")),N(K1203)+1,N(K1203))))</f>
        <v>0</v>
      </c>
    </row>
    <row r="1205" customFormat="false" ht="15" hidden="false" customHeight="false" outlineLevel="0" collapsed="false">
      <c r="K1205" s="24" t="n">
        <f aca="false">IF(Search!$B$3="",0,IF($A1205="",N(K1204),IF(ISNUMBER(SEARCH(Search!$B$3,$A1205&amp;"")),N(K1204)+1,N(K1204))))</f>
        <v>0</v>
      </c>
    </row>
    <row r="1206" customFormat="false" ht="15" hidden="false" customHeight="false" outlineLevel="0" collapsed="false">
      <c r="K1206" s="24" t="n">
        <f aca="false">IF(Search!$B$3="",0,IF($A1206="",N(K1205),IF(ISNUMBER(SEARCH(Search!$B$3,$A1206&amp;"")),N(K1205)+1,N(K1205))))</f>
        <v>0</v>
      </c>
    </row>
    <row r="1207" customFormat="false" ht="15" hidden="false" customHeight="false" outlineLevel="0" collapsed="false">
      <c r="K1207" s="24" t="n">
        <f aca="false">IF(Search!$B$3="",0,IF($A1207="",N(K1206),IF(ISNUMBER(SEARCH(Search!$B$3,$A1207&amp;"")),N(K1206)+1,N(K1206))))</f>
        <v>0</v>
      </c>
    </row>
    <row r="1208" customFormat="false" ht="15" hidden="false" customHeight="false" outlineLevel="0" collapsed="false">
      <c r="K1208" s="24" t="n">
        <f aca="false">IF(Search!$B$3="",0,IF($A1208="",N(K1207),IF(ISNUMBER(SEARCH(Search!$B$3,$A1208&amp;"")),N(K1207)+1,N(K1207))))</f>
        <v>0</v>
      </c>
    </row>
    <row r="1209" customFormat="false" ht="15" hidden="false" customHeight="false" outlineLevel="0" collapsed="false">
      <c r="K1209" s="24" t="n">
        <f aca="false">IF(Search!$B$3="",0,IF($A1209="",N(K1208),IF(ISNUMBER(SEARCH(Search!$B$3,$A1209&amp;"")),N(K1208)+1,N(K1208))))</f>
        <v>0</v>
      </c>
    </row>
    <row r="1210" customFormat="false" ht="15" hidden="false" customHeight="false" outlineLevel="0" collapsed="false">
      <c r="K1210" s="24" t="n">
        <f aca="false">IF(Search!$B$3="",0,IF($A1210="",N(K1209),IF(ISNUMBER(SEARCH(Search!$B$3,$A1210&amp;"")),N(K1209)+1,N(K1209))))</f>
        <v>0</v>
      </c>
    </row>
    <row r="1211" customFormat="false" ht="15" hidden="false" customHeight="false" outlineLevel="0" collapsed="false">
      <c r="K1211" s="24" t="n">
        <f aca="false">IF(Search!$B$3="",0,IF($A1211="",N(K1210),IF(ISNUMBER(SEARCH(Search!$B$3,$A1211&amp;"")),N(K1210)+1,N(K1210))))</f>
        <v>0</v>
      </c>
    </row>
    <row r="1212" customFormat="false" ht="15" hidden="false" customHeight="false" outlineLevel="0" collapsed="false">
      <c r="K1212" s="24" t="n">
        <f aca="false">IF(Search!$B$3="",0,IF($A1212="",N(K1211),IF(ISNUMBER(SEARCH(Search!$B$3,$A1212&amp;"")),N(K1211)+1,N(K1211))))</f>
        <v>0</v>
      </c>
    </row>
    <row r="1213" customFormat="false" ht="15" hidden="false" customHeight="false" outlineLevel="0" collapsed="false">
      <c r="K1213" s="24" t="n">
        <f aca="false">IF(Search!$B$3="",0,IF($A1213="",N(K1212),IF(ISNUMBER(SEARCH(Search!$B$3,$A1213&amp;"")),N(K1212)+1,N(K1212))))</f>
        <v>0</v>
      </c>
    </row>
    <row r="1214" customFormat="false" ht="15" hidden="false" customHeight="false" outlineLevel="0" collapsed="false">
      <c r="K1214" s="24" t="n">
        <f aca="false">IF(Search!$B$3="",0,IF($A1214="",N(K1213),IF(ISNUMBER(SEARCH(Search!$B$3,$A1214&amp;"")),N(K1213)+1,N(K1213))))</f>
        <v>0</v>
      </c>
    </row>
    <row r="1215" customFormat="false" ht="15" hidden="false" customHeight="false" outlineLevel="0" collapsed="false">
      <c r="K1215" s="24" t="n">
        <f aca="false">IF(Search!$B$3="",0,IF($A1215="",N(K1214),IF(ISNUMBER(SEARCH(Search!$B$3,$A1215&amp;"")),N(K1214)+1,N(K1214))))</f>
        <v>0</v>
      </c>
    </row>
    <row r="1216" customFormat="false" ht="15" hidden="false" customHeight="false" outlineLevel="0" collapsed="false">
      <c r="K1216" s="24" t="n">
        <f aca="false">IF(Search!$B$3="",0,IF($A1216="",N(K1215),IF(ISNUMBER(SEARCH(Search!$B$3,$A1216&amp;"")),N(K1215)+1,N(K1215))))</f>
        <v>0</v>
      </c>
    </row>
    <row r="1217" customFormat="false" ht="15" hidden="false" customHeight="false" outlineLevel="0" collapsed="false">
      <c r="K1217" s="24" t="n">
        <f aca="false">IF(Search!$B$3="",0,IF($A1217="",N(K1216),IF(ISNUMBER(SEARCH(Search!$B$3,$A1217&amp;"")),N(K1216)+1,N(K1216))))</f>
        <v>0</v>
      </c>
    </row>
    <row r="1218" customFormat="false" ht="15" hidden="false" customHeight="false" outlineLevel="0" collapsed="false">
      <c r="K1218" s="24" t="n">
        <f aca="false">IF(Search!$B$3="",0,IF($A1218="",N(K1217),IF(ISNUMBER(SEARCH(Search!$B$3,$A1218&amp;"")),N(K1217)+1,N(K1217))))</f>
        <v>0</v>
      </c>
    </row>
    <row r="1219" customFormat="false" ht="15" hidden="false" customHeight="false" outlineLevel="0" collapsed="false">
      <c r="K1219" s="24" t="n">
        <f aca="false">IF(Search!$B$3="",0,IF($A1219="",N(K1218),IF(ISNUMBER(SEARCH(Search!$B$3,$A1219&amp;"")),N(K1218)+1,N(K1218))))</f>
        <v>0</v>
      </c>
    </row>
    <row r="1220" customFormat="false" ht="15" hidden="false" customHeight="false" outlineLevel="0" collapsed="false">
      <c r="K1220" s="24" t="n">
        <f aca="false">IF(Search!$B$3="",0,IF($A1220="",N(K1219),IF(ISNUMBER(SEARCH(Search!$B$3,$A1220&amp;"")),N(K1219)+1,N(K1219))))</f>
        <v>0</v>
      </c>
    </row>
    <row r="1221" customFormat="false" ht="15" hidden="false" customHeight="false" outlineLevel="0" collapsed="false">
      <c r="K1221" s="24" t="n">
        <f aca="false">IF(Search!$B$3="",0,IF($A1221="",N(K1220),IF(ISNUMBER(SEARCH(Search!$B$3,$A1221&amp;"")),N(K1220)+1,N(K1220))))</f>
        <v>0</v>
      </c>
    </row>
    <row r="1222" customFormat="false" ht="15" hidden="false" customHeight="false" outlineLevel="0" collapsed="false">
      <c r="K1222" s="24" t="n">
        <f aca="false">IF(Search!$B$3="",0,IF($A1222="",N(K1221),IF(ISNUMBER(SEARCH(Search!$B$3,$A1222&amp;"")),N(K1221)+1,N(K1221))))</f>
        <v>0</v>
      </c>
    </row>
    <row r="1223" customFormat="false" ht="15" hidden="false" customHeight="false" outlineLevel="0" collapsed="false">
      <c r="K1223" s="24" t="n">
        <f aca="false">IF(Search!$B$3="",0,IF($A1223="",N(K1222),IF(ISNUMBER(SEARCH(Search!$B$3,$A1223&amp;"")),N(K1222)+1,N(K1222))))</f>
        <v>0</v>
      </c>
    </row>
    <row r="1224" customFormat="false" ht="15" hidden="false" customHeight="false" outlineLevel="0" collapsed="false">
      <c r="K1224" s="24" t="n">
        <f aca="false">IF(Search!$B$3="",0,IF($A1224="",N(K1223),IF(ISNUMBER(SEARCH(Search!$B$3,$A1224&amp;"")),N(K1223)+1,N(K1223))))</f>
        <v>0</v>
      </c>
    </row>
    <row r="1225" customFormat="false" ht="15" hidden="false" customHeight="false" outlineLevel="0" collapsed="false">
      <c r="K1225" s="24" t="n">
        <f aca="false">IF(Search!$B$3="",0,IF($A1225="",N(K1224),IF(ISNUMBER(SEARCH(Search!$B$3,$A1225&amp;"")),N(K1224)+1,N(K1224))))</f>
        <v>0</v>
      </c>
    </row>
    <row r="1226" customFormat="false" ht="15" hidden="false" customHeight="false" outlineLevel="0" collapsed="false">
      <c r="K1226" s="24" t="n">
        <f aca="false">IF(Search!$B$3="",0,IF($A1226="",N(K1225),IF(ISNUMBER(SEARCH(Search!$B$3,$A1226&amp;"")),N(K1225)+1,N(K1225))))</f>
        <v>0</v>
      </c>
    </row>
    <row r="1227" customFormat="false" ht="15" hidden="false" customHeight="false" outlineLevel="0" collapsed="false">
      <c r="K1227" s="24" t="n">
        <f aca="false">IF(Search!$B$3="",0,IF($A1227="",N(K1226),IF(ISNUMBER(SEARCH(Search!$B$3,$A1227&amp;"")),N(K1226)+1,N(K1226))))</f>
        <v>0</v>
      </c>
    </row>
    <row r="1228" customFormat="false" ht="15" hidden="false" customHeight="false" outlineLevel="0" collapsed="false">
      <c r="K1228" s="24" t="n">
        <f aca="false">IF(Search!$B$3="",0,IF($A1228="",N(K1227),IF(ISNUMBER(SEARCH(Search!$B$3,$A1228&amp;"")),N(K1227)+1,N(K1227))))</f>
        <v>0</v>
      </c>
    </row>
    <row r="1229" customFormat="false" ht="15" hidden="false" customHeight="false" outlineLevel="0" collapsed="false">
      <c r="K1229" s="24" t="n">
        <f aca="false">IF(Search!$B$3="",0,IF($A1229="",N(K1228),IF(ISNUMBER(SEARCH(Search!$B$3,$A1229&amp;"")),N(K1228)+1,N(K1228))))</f>
        <v>0</v>
      </c>
    </row>
    <row r="1230" customFormat="false" ht="15" hidden="false" customHeight="false" outlineLevel="0" collapsed="false">
      <c r="K1230" s="24" t="n">
        <f aca="false">IF(Search!$B$3="",0,IF($A1230="",N(K1229),IF(ISNUMBER(SEARCH(Search!$B$3,$A1230&amp;"")),N(K1229)+1,N(K1229))))</f>
        <v>0</v>
      </c>
    </row>
    <row r="1231" customFormat="false" ht="15" hidden="false" customHeight="false" outlineLevel="0" collapsed="false">
      <c r="K1231" s="24" t="n">
        <f aca="false">IF(Search!$B$3="",0,IF($A1231="",N(K1230),IF(ISNUMBER(SEARCH(Search!$B$3,$A1231&amp;"")),N(K1230)+1,N(K1230))))</f>
        <v>0</v>
      </c>
    </row>
    <row r="1232" customFormat="false" ht="15" hidden="false" customHeight="false" outlineLevel="0" collapsed="false">
      <c r="K1232" s="24" t="n">
        <f aca="false">IF(Search!$B$3="",0,IF($A1232="",N(K1231),IF(ISNUMBER(SEARCH(Search!$B$3,$A1232&amp;"")),N(K1231)+1,N(K1231))))</f>
        <v>0</v>
      </c>
    </row>
    <row r="1233" customFormat="false" ht="15" hidden="false" customHeight="false" outlineLevel="0" collapsed="false">
      <c r="K1233" s="24" t="n">
        <f aca="false">IF(Search!$B$3="",0,IF($A1233="",N(K1232),IF(ISNUMBER(SEARCH(Search!$B$3,$A1233&amp;"")),N(K1232)+1,N(K1232))))</f>
        <v>0</v>
      </c>
    </row>
    <row r="1234" customFormat="false" ht="15" hidden="false" customHeight="false" outlineLevel="0" collapsed="false">
      <c r="K1234" s="24" t="n">
        <f aca="false">IF(Search!$B$3="",0,IF($A1234="",N(K1233),IF(ISNUMBER(SEARCH(Search!$B$3,$A1234&amp;"")),N(K1233)+1,N(K1233))))</f>
        <v>0</v>
      </c>
    </row>
    <row r="1235" customFormat="false" ht="15" hidden="false" customHeight="false" outlineLevel="0" collapsed="false">
      <c r="K1235" s="24" t="n">
        <f aca="false">IF(Search!$B$3="",0,IF($A1235="",N(K1234),IF(ISNUMBER(SEARCH(Search!$B$3,$A1235&amp;"")),N(K1234)+1,N(K1234))))</f>
        <v>0</v>
      </c>
    </row>
    <row r="1236" customFormat="false" ht="15" hidden="false" customHeight="false" outlineLevel="0" collapsed="false">
      <c r="K1236" s="24" t="n">
        <f aca="false">IF(Search!$B$3="",0,IF($A1236="",N(K1235),IF(ISNUMBER(SEARCH(Search!$B$3,$A1236&amp;"")),N(K1235)+1,N(K1235))))</f>
        <v>0</v>
      </c>
    </row>
    <row r="1237" customFormat="false" ht="15" hidden="false" customHeight="false" outlineLevel="0" collapsed="false">
      <c r="K1237" s="24" t="n">
        <f aca="false">IF(Search!$B$3="",0,IF($A1237="",N(K1236),IF(ISNUMBER(SEARCH(Search!$B$3,$A1237&amp;"")),N(K1236)+1,N(K1236))))</f>
        <v>0</v>
      </c>
    </row>
    <row r="1238" customFormat="false" ht="15" hidden="false" customHeight="false" outlineLevel="0" collapsed="false">
      <c r="K1238" s="24" t="n">
        <f aca="false">IF(Search!$B$3="",0,IF($A1238="",N(K1237),IF(ISNUMBER(SEARCH(Search!$B$3,$A1238&amp;"")),N(K1237)+1,N(K1237))))</f>
        <v>0</v>
      </c>
    </row>
    <row r="1239" customFormat="false" ht="15" hidden="false" customHeight="false" outlineLevel="0" collapsed="false">
      <c r="K1239" s="24" t="n">
        <f aca="false">IF(Search!$B$3="",0,IF($A1239="",N(K1238),IF(ISNUMBER(SEARCH(Search!$B$3,$A1239&amp;"")),N(K1238)+1,N(K1238))))</f>
        <v>0</v>
      </c>
    </row>
    <row r="1240" customFormat="false" ht="15" hidden="false" customHeight="false" outlineLevel="0" collapsed="false">
      <c r="K1240" s="24" t="n">
        <f aca="false">IF(Search!$B$3="",0,IF($A1240="",N(K1239),IF(ISNUMBER(SEARCH(Search!$B$3,$A1240&amp;"")),N(K1239)+1,N(K1239))))</f>
        <v>0</v>
      </c>
    </row>
    <row r="1241" customFormat="false" ht="15" hidden="false" customHeight="false" outlineLevel="0" collapsed="false">
      <c r="K1241" s="24" t="n">
        <f aca="false">IF(Search!$B$3="",0,IF($A1241="",N(K1240),IF(ISNUMBER(SEARCH(Search!$B$3,$A1241&amp;"")),N(K1240)+1,N(K1240))))</f>
        <v>0</v>
      </c>
    </row>
    <row r="1242" customFormat="false" ht="15" hidden="false" customHeight="false" outlineLevel="0" collapsed="false">
      <c r="K1242" s="24" t="n">
        <f aca="false">IF(Search!$B$3="",0,IF($A1242="",N(K1241),IF(ISNUMBER(SEARCH(Search!$B$3,$A1242&amp;"")),N(K1241)+1,N(K1241))))</f>
        <v>0</v>
      </c>
    </row>
    <row r="1243" customFormat="false" ht="15" hidden="false" customHeight="false" outlineLevel="0" collapsed="false">
      <c r="K1243" s="24" t="n">
        <f aca="false">IF(Search!$B$3="",0,IF($A1243="",N(K1242),IF(ISNUMBER(SEARCH(Search!$B$3,$A1243&amp;"")),N(K1242)+1,N(K1242))))</f>
        <v>0</v>
      </c>
    </row>
    <row r="1244" customFormat="false" ht="15" hidden="false" customHeight="false" outlineLevel="0" collapsed="false">
      <c r="K1244" s="24" t="n">
        <f aca="false">IF(Search!$B$3="",0,IF($A1244="",N(K1243),IF(ISNUMBER(SEARCH(Search!$B$3,$A1244&amp;"")),N(K1243)+1,N(K1243))))</f>
        <v>0</v>
      </c>
    </row>
    <row r="1245" customFormat="false" ht="15" hidden="false" customHeight="false" outlineLevel="0" collapsed="false">
      <c r="K1245" s="24" t="n">
        <f aca="false">IF(Search!$B$3="",0,IF($A1245="",N(K1244),IF(ISNUMBER(SEARCH(Search!$B$3,$A1245&amp;"")),N(K1244)+1,N(K1244))))</f>
        <v>0</v>
      </c>
    </row>
    <row r="1246" customFormat="false" ht="15" hidden="false" customHeight="false" outlineLevel="0" collapsed="false">
      <c r="K1246" s="24" t="n">
        <f aca="false">IF(Search!$B$3="",0,IF($A1246="",N(K1245),IF(ISNUMBER(SEARCH(Search!$B$3,$A1246&amp;"")),N(K1245)+1,N(K1245))))</f>
        <v>0</v>
      </c>
    </row>
    <row r="1247" customFormat="false" ht="15" hidden="false" customHeight="false" outlineLevel="0" collapsed="false">
      <c r="K1247" s="24" t="n">
        <f aca="false">IF(Search!$B$3="",0,IF($A1247="",N(K1246),IF(ISNUMBER(SEARCH(Search!$B$3,$A1247&amp;"")),N(K1246)+1,N(K1246))))</f>
        <v>0</v>
      </c>
    </row>
    <row r="1248" customFormat="false" ht="15" hidden="false" customHeight="false" outlineLevel="0" collapsed="false">
      <c r="K1248" s="24" t="n">
        <f aca="false">IF(Search!$B$3="",0,IF($A1248="",N(K1247),IF(ISNUMBER(SEARCH(Search!$B$3,$A1248&amp;"")),N(K1247)+1,N(K1247))))</f>
        <v>0</v>
      </c>
    </row>
    <row r="1249" customFormat="false" ht="15" hidden="false" customHeight="false" outlineLevel="0" collapsed="false">
      <c r="K1249" s="24" t="n">
        <f aca="false">IF(Search!$B$3="",0,IF($A1249="",N(K1248),IF(ISNUMBER(SEARCH(Search!$B$3,$A1249&amp;"")),N(K1248)+1,N(K1248))))</f>
        <v>0</v>
      </c>
    </row>
    <row r="1250" customFormat="false" ht="15" hidden="false" customHeight="false" outlineLevel="0" collapsed="false">
      <c r="K1250" s="24" t="n">
        <f aca="false">IF(Search!$B$3="",0,IF($A1250="",N(K1249),IF(ISNUMBER(SEARCH(Search!$B$3,$A1250&amp;"")),N(K1249)+1,N(K1249))))</f>
        <v>0</v>
      </c>
    </row>
    <row r="1251" customFormat="false" ht="15" hidden="false" customHeight="false" outlineLevel="0" collapsed="false">
      <c r="K1251" s="24" t="n">
        <f aca="false">IF(Search!$B$3="",0,IF($A1251="",N(K1250),IF(ISNUMBER(SEARCH(Search!$B$3,$A1251&amp;"")),N(K1250)+1,N(K1250))))</f>
        <v>0</v>
      </c>
    </row>
    <row r="1252" customFormat="false" ht="15" hidden="false" customHeight="false" outlineLevel="0" collapsed="false">
      <c r="K1252" s="24" t="n">
        <f aca="false">IF(Search!$B$3="",0,IF($A1252="",N(K1251),IF(ISNUMBER(SEARCH(Search!$B$3,$A1252&amp;"")),N(K1251)+1,N(K1251))))</f>
        <v>0</v>
      </c>
    </row>
    <row r="1253" customFormat="false" ht="15" hidden="false" customHeight="false" outlineLevel="0" collapsed="false">
      <c r="K1253" s="24" t="n">
        <f aca="false">IF(Search!$B$3="",0,IF($A1253="",N(K1252),IF(ISNUMBER(SEARCH(Search!$B$3,$A1253&amp;"")),N(K1252)+1,N(K1252))))</f>
        <v>0</v>
      </c>
    </row>
    <row r="1254" customFormat="false" ht="15" hidden="false" customHeight="false" outlineLevel="0" collapsed="false">
      <c r="K1254" s="24" t="n">
        <f aca="false">IF(Search!$B$3="",0,IF($A1254="",N(K1253),IF(ISNUMBER(SEARCH(Search!$B$3,$A1254&amp;"")),N(K1253)+1,N(K1253))))</f>
        <v>0</v>
      </c>
    </row>
    <row r="1255" customFormat="false" ht="15" hidden="false" customHeight="false" outlineLevel="0" collapsed="false">
      <c r="K1255" s="24" t="n">
        <f aca="false">IF(Search!$B$3="",0,IF($A1255="",N(K1254),IF(ISNUMBER(SEARCH(Search!$B$3,$A1255&amp;"")),N(K1254)+1,N(K1254))))</f>
        <v>0</v>
      </c>
    </row>
    <row r="1256" customFormat="false" ht="15" hidden="false" customHeight="false" outlineLevel="0" collapsed="false">
      <c r="K1256" s="24" t="n">
        <f aca="false">IF(Search!$B$3="",0,IF($A1256="",N(K1255),IF(ISNUMBER(SEARCH(Search!$B$3,$A1256&amp;"")),N(K1255)+1,N(K1255))))</f>
        <v>0</v>
      </c>
    </row>
    <row r="1257" customFormat="false" ht="15" hidden="false" customHeight="false" outlineLevel="0" collapsed="false">
      <c r="K1257" s="24" t="n">
        <f aca="false">IF(Search!$B$3="",0,IF($A1257="",N(K1256),IF(ISNUMBER(SEARCH(Search!$B$3,$A1257&amp;"")),N(K1256)+1,N(K1256))))</f>
        <v>0</v>
      </c>
    </row>
    <row r="1258" customFormat="false" ht="15" hidden="false" customHeight="false" outlineLevel="0" collapsed="false">
      <c r="K1258" s="24" t="n">
        <f aca="false">IF(Search!$B$3="",0,IF($A1258="",N(K1257),IF(ISNUMBER(SEARCH(Search!$B$3,$A1258&amp;"")),N(K1257)+1,N(K1257))))</f>
        <v>0</v>
      </c>
    </row>
    <row r="1259" customFormat="false" ht="15" hidden="false" customHeight="false" outlineLevel="0" collapsed="false">
      <c r="K1259" s="24" t="n">
        <f aca="false">IF(Search!$B$3="",0,IF($A1259="",N(K1258),IF(ISNUMBER(SEARCH(Search!$B$3,$A1259&amp;"")),N(K1258)+1,N(K1258))))</f>
        <v>0</v>
      </c>
    </row>
    <row r="1260" customFormat="false" ht="15" hidden="false" customHeight="false" outlineLevel="0" collapsed="false">
      <c r="K1260" s="24" t="n">
        <f aca="false">IF(Search!$B$3="",0,IF($A1260="",N(K1259),IF(ISNUMBER(SEARCH(Search!$B$3,$A1260&amp;"")),N(K1259)+1,N(K1259))))</f>
        <v>0</v>
      </c>
    </row>
    <row r="1261" customFormat="false" ht="15" hidden="false" customHeight="false" outlineLevel="0" collapsed="false">
      <c r="K1261" s="24" t="n">
        <f aca="false">IF(Search!$B$3="",0,IF($A1261="",N(K1260),IF(ISNUMBER(SEARCH(Search!$B$3,$A1261&amp;"")),N(K1260)+1,N(K1260))))</f>
        <v>0</v>
      </c>
    </row>
    <row r="1262" customFormat="false" ht="15" hidden="false" customHeight="false" outlineLevel="0" collapsed="false">
      <c r="K1262" s="24" t="n">
        <f aca="false">IF(Search!$B$3="",0,IF($A1262="",N(K1261),IF(ISNUMBER(SEARCH(Search!$B$3,$A1262&amp;"")),N(K1261)+1,N(K1261))))</f>
        <v>0</v>
      </c>
    </row>
    <row r="1263" customFormat="false" ht="15" hidden="false" customHeight="false" outlineLevel="0" collapsed="false">
      <c r="K1263" s="24" t="n">
        <f aca="false">IF(Search!$B$3="",0,IF($A1263="",N(K1262),IF(ISNUMBER(SEARCH(Search!$B$3,$A1263&amp;"")),N(K1262)+1,N(K1262))))</f>
        <v>0</v>
      </c>
    </row>
    <row r="1264" customFormat="false" ht="15" hidden="false" customHeight="false" outlineLevel="0" collapsed="false">
      <c r="K1264" s="24" t="n">
        <f aca="false">IF(Search!$B$3="",0,IF($A1264="",N(K1263),IF(ISNUMBER(SEARCH(Search!$B$3,$A1264&amp;"")),N(K1263)+1,N(K1263))))</f>
        <v>0</v>
      </c>
    </row>
    <row r="1265" customFormat="false" ht="15" hidden="false" customHeight="false" outlineLevel="0" collapsed="false">
      <c r="K1265" s="24" t="n">
        <f aca="false">IF(Search!$B$3="",0,IF($A1265="",N(K1264),IF(ISNUMBER(SEARCH(Search!$B$3,$A1265&amp;"")),N(K1264)+1,N(K1264))))</f>
        <v>0</v>
      </c>
    </row>
    <row r="1266" customFormat="false" ht="15" hidden="false" customHeight="false" outlineLevel="0" collapsed="false">
      <c r="K1266" s="24" t="n">
        <f aca="false">IF(Search!$B$3="",0,IF($A1266="",N(K1265),IF(ISNUMBER(SEARCH(Search!$B$3,$A1266&amp;"")),N(K1265)+1,N(K1265))))</f>
        <v>0</v>
      </c>
    </row>
    <row r="1267" customFormat="false" ht="15" hidden="false" customHeight="false" outlineLevel="0" collapsed="false">
      <c r="K1267" s="24" t="n">
        <f aca="false">IF(Search!$B$3="",0,IF($A1267="",N(K1266),IF(ISNUMBER(SEARCH(Search!$B$3,$A1267&amp;"")),N(K1266)+1,N(K1266))))</f>
        <v>0</v>
      </c>
    </row>
    <row r="1268" customFormat="false" ht="15" hidden="false" customHeight="false" outlineLevel="0" collapsed="false">
      <c r="K1268" s="24" t="n">
        <f aca="false">IF(Search!$B$3="",0,IF($A1268="",N(K1267),IF(ISNUMBER(SEARCH(Search!$B$3,$A1268&amp;"")),N(K1267)+1,N(K1267))))</f>
        <v>0</v>
      </c>
    </row>
    <row r="1269" customFormat="false" ht="15" hidden="false" customHeight="false" outlineLevel="0" collapsed="false">
      <c r="K1269" s="24" t="n">
        <f aca="false">IF(Search!$B$3="",0,IF($A1269="",N(K1268),IF(ISNUMBER(SEARCH(Search!$B$3,$A1269&amp;"")),N(K1268)+1,N(K1268))))</f>
        <v>0</v>
      </c>
    </row>
    <row r="1270" customFormat="false" ht="15" hidden="false" customHeight="false" outlineLevel="0" collapsed="false">
      <c r="K1270" s="24" t="n">
        <f aca="false">IF(Search!$B$3="",0,IF($A1270="",N(K1269),IF(ISNUMBER(SEARCH(Search!$B$3,$A1270&amp;"")),N(K1269)+1,N(K1269))))</f>
        <v>0</v>
      </c>
    </row>
    <row r="1271" customFormat="false" ht="15" hidden="false" customHeight="false" outlineLevel="0" collapsed="false">
      <c r="K1271" s="24" t="n">
        <f aca="false">IF(Search!$B$3="",0,IF($A1271="",N(K1270),IF(ISNUMBER(SEARCH(Search!$B$3,$A1271&amp;"")),N(K1270)+1,N(K1270))))</f>
        <v>0</v>
      </c>
    </row>
    <row r="1272" customFormat="false" ht="15" hidden="false" customHeight="false" outlineLevel="0" collapsed="false">
      <c r="K1272" s="24" t="n">
        <f aca="false">IF(Search!$B$3="",0,IF($A1272="",N(K1271),IF(ISNUMBER(SEARCH(Search!$B$3,$A1272&amp;"")),N(K1271)+1,N(K1271))))</f>
        <v>0</v>
      </c>
    </row>
    <row r="1273" customFormat="false" ht="15" hidden="false" customHeight="false" outlineLevel="0" collapsed="false">
      <c r="K1273" s="24" t="n">
        <f aca="false">IF(Search!$B$3="",0,IF($A1273="",N(K1272),IF(ISNUMBER(SEARCH(Search!$B$3,$A1273&amp;"")),N(K1272)+1,N(K1272))))</f>
        <v>0</v>
      </c>
    </row>
    <row r="1274" customFormat="false" ht="15" hidden="false" customHeight="false" outlineLevel="0" collapsed="false">
      <c r="K1274" s="24" t="n">
        <f aca="false">IF(Search!$B$3="",0,IF($A1274="",N(K1273),IF(ISNUMBER(SEARCH(Search!$B$3,$A1274&amp;"")),N(K1273)+1,N(K1273))))</f>
        <v>0</v>
      </c>
    </row>
    <row r="1275" customFormat="false" ht="15" hidden="false" customHeight="false" outlineLevel="0" collapsed="false">
      <c r="K1275" s="24" t="n">
        <f aca="false">IF(Search!$B$3="",0,IF($A1275="",N(K1274),IF(ISNUMBER(SEARCH(Search!$B$3,$A1275&amp;"")),N(K1274)+1,N(K1274))))</f>
        <v>0</v>
      </c>
    </row>
    <row r="1276" customFormat="false" ht="15" hidden="false" customHeight="false" outlineLevel="0" collapsed="false">
      <c r="K1276" s="24" t="n">
        <f aca="false">IF(Search!$B$3="",0,IF($A1276="",N(K1275),IF(ISNUMBER(SEARCH(Search!$B$3,$A1276&amp;"")),N(K1275)+1,N(K1275))))</f>
        <v>0</v>
      </c>
    </row>
    <row r="1277" customFormat="false" ht="15" hidden="false" customHeight="false" outlineLevel="0" collapsed="false">
      <c r="K1277" s="24" t="n">
        <f aca="false">IF(Search!$B$3="",0,IF($A1277="",N(K1276),IF(ISNUMBER(SEARCH(Search!$B$3,$A1277&amp;"")),N(K1276)+1,N(K1276))))</f>
        <v>0</v>
      </c>
    </row>
    <row r="1278" customFormat="false" ht="15" hidden="false" customHeight="false" outlineLevel="0" collapsed="false">
      <c r="K1278" s="24" t="n">
        <f aca="false">IF(Search!$B$3="",0,IF($A1278="",N(K1277),IF(ISNUMBER(SEARCH(Search!$B$3,$A1278&amp;"")),N(K1277)+1,N(K1277))))</f>
        <v>0</v>
      </c>
    </row>
    <row r="1279" customFormat="false" ht="15" hidden="false" customHeight="false" outlineLevel="0" collapsed="false">
      <c r="K1279" s="24" t="n">
        <f aca="false">IF(Search!$B$3="",0,IF($A1279="",N(K1278),IF(ISNUMBER(SEARCH(Search!$B$3,$A1279&amp;"")),N(K1278)+1,N(K1278))))</f>
        <v>0</v>
      </c>
    </row>
    <row r="1280" customFormat="false" ht="15" hidden="false" customHeight="false" outlineLevel="0" collapsed="false">
      <c r="K1280" s="24" t="n">
        <f aca="false">IF(Search!$B$3="",0,IF($A1280="",N(K1279),IF(ISNUMBER(SEARCH(Search!$B$3,$A1280&amp;"")),N(K1279)+1,N(K1279))))</f>
        <v>0</v>
      </c>
    </row>
    <row r="1281" customFormat="false" ht="15" hidden="false" customHeight="false" outlineLevel="0" collapsed="false">
      <c r="K1281" s="24" t="n">
        <f aca="false">IF(Search!$B$3="",0,IF($A1281="",N(K1280),IF(ISNUMBER(SEARCH(Search!$B$3,$A1281&amp;"")),N(K1280)+1,N(K1280))))</f>
        <v>0</v>
      </c>
    </row>
    <row r="1282" customFormat="false" ht="15" hidden="false" customHeight="false" outlineLevel="0" collapsed="false">
      <c r="K1282" s="24" t="n">
        <f aca="false">IF(Search!$B$3="",0,IF($A1282="",N(K1281),IF(ISNUMBER(SEARCH(Search!$B$3,$A1282&amp;"")),N(K1281)+1,N(K1281))))</f>
        <v>0</v>
      </c>
    </row>
    <row r="1283" customFormat="false" ht="15" hidden="false" customHeight="false" outlineLevel="0" collapsed="false">
      <c r="K1283" s="24" t="n">
        <f aca="false">IF(Search!$B$3="",0,IF($A1283="",N(K1282),IF(ISNUMBER(SEARCH(Search!$B$3,$A1283&amp;"")),N(K1282)+1,N(K1282))))</f>
        <v>0</v>
      </c>
    </row>
    <row r="1284" customFormat="false" ht="15" hidden="false" customHeight="false" outlineLevel="0" collapsed="false">
      <c r="K1284" s="24" t="n">
        <f aca="false">IF(Search!$B$3="",0,IF($A1284="",N(K1283),IF(ISNUMBER(SEARCH(Search!$B$3,$A1284&amp;"")),N(K1283)+1,N(K1283))))</f>
        <v>0</v>
      </c>
    </row>
    <row r="1285" customFormat="false" ht="15" hidden="false" customHeight="false" outlineLevel="0" collapsed="false">
      <c r="K1285" s="24" t="n">
        <f aca="false">IF(Search!$B$3="",0,IF($A1285="",N(K1284),IF(ISNUMBER(SEARCH(Search!$B$3,$A1285&amp;"")),N(K1284)+1,N(K1284))))</f>
        <v>0</v>
      </c>
    </row>
    <row r="1286" customFormat="false" ht="15" hidden="false" customHeight="false" outlineLevel="0" collapsed="false">
      <c r="K1286" s="24" t="n">
        <f aca="false">IF(Search!$B$3="",0,IF($A1286="",N(K1285),IF(ISNUMBER(SEARCH(Search!$B$3,$A1286&amp;"")),N(K1285)+1,N(K1285))))</f>
        <v>0</v>
      </c>
    </row>
    <row r="1287" customFormat="false" ht="15" hidden="false" customHeight="false" outlineLevel="0" collapsed="false">
      <c r="K1287" s="24" t="n">
        <f aca="false">IF(Search!$B$3="",0,IF($A1287="",N(K1286),IF(ISNUMBER(SEARCH(Search!$B$3,$A1287&amp;"")),N(K1286)+1,N(K1286))))</f>
        <v>0</v>
      </c>
    </row>
    <row r="1288" customFormat="false" ht="15" hidden="false" customHeight="false" outlineLevel="0" collapsed="false">
      <c r="K1288" s="24" t="n">
        <f aca="false">IF(Search!$B$3="",0,IF($A1288="",N(K1287),IF(ISNUMBER(SEARCH(Search!$B$3,$A1288&amp;"")),N(K1287)+1,N(K1287))))</f>
        <v>0</v>
      </c>
    </row>
    <row r="1289" customFormat="false" ht="15" hidden="false" customHeight="false" outlineLevel="0" collapsed="false">
      <c r="K1289" s="24" t="n">
        <f aca="false">IF(Search!$B$3="",0,IF($A1289="",N(K1288),IF(ISNUMBER(SEARCH(Search!$B$3,$A1289&amp;"")),N(K1288)+1,N(K1288))))</f>
        <v>0</v>
      </c>
    </row>
    <row r="1290" customFormat="false" ht="15" hidden="false" customHeight="false" outlineLevel="0" collapsed="false">
      <c r="K1290" s="24" t="n">
        <f aca="false">IF(Search!$B$3="",0,IF($A1290="",N(K1289),IF(ISNUMBER(SEARCH(Search!$B$3,$A1290&amp;"")),N(K1289)+1,N(K1289))))</f>
        <v>0</v>
      </c>
    </row>
    <row r="1291" customFormat="false" ht="15" hidden="false" customHeight="false" outlineLevel="0" collapsed="false">
      <c r="K1291" s="24" t="n">
        <f aca="false">IF(Search!$B$3="",0,IF($A1291="",N(K1290),IF(ISNUMBER(SEARCH(Search!$B$3,$A1291&amp;"")),N(K1290)+1,N(K1290))))</f>
        <v>0</v>
      </c>
    </row>
    <row r="1292" customFormat="false" ht="15" hidden="false" customHeight="false" outlineLevel="0" collapsed="false">
      <c r="K1292" s="24" t="n">
        <f aca="false">IF(Search!$B$3="",0,IF($A1292="",N(K1291),IF(ISNUMBER(SEARCH(Search!$B$3,$A1292&amp;"")),N(K1291)+1,N(K1291))))</f>
        <v>0</v>
      </c>
    </row>
    <row r="1293" customFormat="false" ht="15" hidden="false" customHeight="false" outlineLevel="0" collapsed="false">
      <c r="K1293" s="24" t="n">
        <f aca="false">IF(Search!$B$3="",0,IF($A1293="",N(K1292),IF(ISNUMBER(SEARCH(Search!$B$3,$A1293&amp;"")),N(K1292)+1,N(K1292))))</f>
        <v>0</v>
      </c>
    </row>
    <row r="1294" customFormat="false" ht="15" hidden="false" customHeight="false" outlineLevel="0" collapsed="false">
      <c r="K1294" s="24" t="n">
        <f aca="false">IF(Search!$B$3="",0,IF($A1294="",N(K1293),IF(ISNUMBER(SEARCH(Search!$B$3,$A1294&amp;"")),N(K1293)+1,N(K1293))))</f>
        <v>0</v>
      </c>
    </row>
    <row r="1295" customFormat="false" ht="15" hidden="false" customHeight="false" outlineLevel="0" collapsed="false">
      <c r="K1295" s="24" t="n">
        <f aca="false">IF(Search!$B$3="",0,IF($A1295="",N(K1294),IF(ISNUMBER(SEARCH(Search!$B$3,$A1295&amp;"")),N(K1294)+1,N(K1294))))</f>
        <v>0</v>
      </c>
    </row>
    <row r="1296" customFormat="false" ht="15" hidden="false" customHeight="false" outlineLevel="0" collapsed="false">
      <c r="K1296" s="24" t="n">
        <f aca="false">IF(Search!$B$3="",0,IF($A1296="",N(K1295),IF(ISNUMBER(SEARCH(Search!$B$3,$A1296&amp;"")),N(K1295)+1,N(K1295))))</f>
        <v>0</v>
      </c>
    </row>
    <row r="1297" customFormat="false" ht="15" hidden="false" customHeight="false" outlineLevel="0" collapsed="false">
      <c r="K1297" s="24" t="n">
        <f aca="false">IF(Search!$B$3="",0,IF($A1297="",N(K1296),IF(ISNUMBER(SEARCH(Search!$B$3,$A1297&amp;"")),N(K1296)+1,N(K1296))))</f>
        <v>0</v>
      </c>
    </row>
    <row r="1298" customFormat="false" ht="15" hidden="false" customHeight="false" outlineLevel="0" collapsed="false">
      <c r="K1298" s="24" t="n">
        <f aca="false">IF(Search!$B$3="",0,IF($A1298="",N(K1297),IF(ISNUMBER(SEARCH(Search!$B$3,$A1298&amp;"")),N(K1297)+1,N(K1297))))</f>
        <v>0</v>
      </c>
    </row>
    <row r="1299" customFormat="false" ht="15" hidden="false" customHeight="false" outlineLevel="0" collapsed="false">
      <c r="K1299" s="24" t="n">
        <f aca="false">IF(Search!$B$3="",0,IF($A1299="",N(K1298),IF(ISNUMBER(SEARCH(Search!$B$3,$A1299&amp;"")),N(K1298)+1,N(K1298))))</f>
        <v>0</v>
      </c>
    </row>
    <row r="1300" customFormat="false" ht="15" hidden="false" customHeight="false" outlineLevel="0" collapsed="false">
      <c r="K1300" s="24" t="n">
        <f aca="false">IF(Search!$B$3="",0,IF($A1300="",N(K1299),IF(ISNUMBER(SEARCH(Search!$B$3,$A1300&amp;"")),N(K1299)+1,N(K1299))))</f>
        <v>0</v>
      </c>
    </row>
    <row r="1301" customFormat="false" ht="15" hidden="false" customHeight="false" outlineLevel="0" collapsed="false">
      <c r="K1301" s="24" t="n">
        <f aca="false">IF(Search!$B$3="",0,IF($A1301="",N(K1300),IF(ISNUMBER(SEARCH(Search!$B$3,$A1301&amp;"")),N(K1300)+1,N(K1300))))</f>
        <v>0</v>
      </c>
    </row>
    <row r="1302" customFormat="false" ht="15" hidden="false" customHeight="false" outlineLevel="0" collapsed="false">
      <c r="K1302" s="24" t="n">
        <f aca="false">IF(Search!$B$3="",0,IF($A1302="",N(K1301),IF(ISNUMBER(SEARCH(Search!$B$3,$A1302&amp;"")),N(K1301)+1,N(K1301))))</f>
        <v>0</v>
      </c>
    </row>
    <row r="1303" customFormat="false" ht="15" hidden="false" customHeight="false" outlineLevel="0" collapsed="false">
      <c r="K1303" s="24" t="n">
        <f aca="false">IF(Search!$B$3="",0,IF($A1303="",N(K1302),IF(ISNUMBER(SEARCH(Search!$B$3,$A1303&amp;"")),N(K1302)+1,N(K1302))))</f>
        <v>0</v>
      </c>
    </row>
    <row r="1304" customFormat="false" ht="15" hidden="false" customHeight="false" outlineLevel="0" collapsed="false">
      <c r="K1304" s="24" t="n">
        <f aca="false">IF(Search!$B$3="",0,IF($A1304="",N(K1303),IF(ISNUMBER(SEARCH(Search!$B$3,$A1304&amp;"")),N(K1303)+1,N(K1303))))</f>
        <v>0</v>
      </c>
    </row>
    <row r="1305" customFormat="false" ht="15" hidden="false" customHeight="false" outlineLevel="0" collapsed="false">
      <c r="K1305" s="24" t="n">
        <f aca="false">IF(Search!$B$3="",0,IF($A1305="",N(K1304),IF(ISNUMBER(SEARCH(Search!$B$3,$A1305&amp;"")),N(K1304)+1,N(K1304))))</f>
        <v>0</v>
      </c>
    </row>
    <row r="1306" customFormat="false" ht="15" hidden="false" customHeight="false" outlineLevel="0" collapsed="false">
      <c r="K1306" s="24" t="n">
        <f aca="false">IF(Search!$B$3="",0,IF($A1306="",N(K1305),IF(ISNUMBER(SEARCH(Search!$B$3,$A1306&amp;"")),N(K1305)+1,N(K1305))))</f>
        <v>0</v>
      </c>
    </row>
    <row r="1307" customFormat="false" ht="15" hidden="false" customHeight="false" outlineLevel="0" collapsed="false">
      <c r="K1307" s="24" t="n">
        <f aca="false">IF(Search!$B$3="",0,IF($A1307="",N(K1306),IF(ISNUMBER(SEARCH(Search!$B$3,$A1307&amp;"")),N(K1306)+1,N(K1306))))</f>
        <v>0</v>
      </c>
    </row>
    <row r="1308" customFormat="false" ht="15" hidden="false" customHeight="false" outlineLevel="0" collapsed="false">
      <c r="K1308" s="24" t="n">
        <f aca="false">IF(Search!$B$3="",0,IF($A1308="",N(K1307),IF(ISNUMBER(SEARCH(Search!$B$3,$A1308&amp;"")),N(K1307)+1,N(K1307))))</f>
        <v>0</v>
      </c>
    </row>
    <row r="1309" customFormat="false" ht="15" hidden="false" customHeight="false" outlineLevel="0" collapsed="false">
      <c r="K1309" s="24" t="n">
        <f aca="false">IF(Search!$B$3="",0,IF($A1309="",N(K1308),IF(ISNUMBER(SEARCH(Search!$B$3,$A1309&amp;"")),N(K1308)+1,N(K1308))))</f>
        <v>0</v>
      </c>
    </row>
    <row r="1310" customFormat="false" ht="15" hidden="false" customHeight="false" outlineLevel="0" collapsed="false">
      <c r="K1310" s="24" t="n">
        <f aca="false">IF(Search!$B$3="",0,IF($A1310="",N(K1309),IF(ISNUMBER(SEARCH(Search!$B$3,$A1310&amp;"")),N(K1309)+1,N(K1309))))</f>
        <v>0</v>
      </c>
    </row>
    <row r="1311" customFormat="false" ht="15" hidden="false" customHeight="false" outlineLevel="0" collapsed="false">
      <c r="K1311" s="24" t="n">
        <f aca="false">IF(Search!$B$3="",0,IF($A1311="",N(K1310),IF(ISNUMBER(SEARCH(Search!$B$3,$A1311&amp;"")),N(K1310)+1,N(K1310))))</f>
        <v>0</v>
      </c>
    </row>
    <row r="1312" customFormat="false" ht="15" hidden="false" customHeight="false" outlineLevel="0" collapsed="false">
      <c r="K1312" s="24" t="n">
        <f aca="false">IF(Search!$B$3="",0,IF($A1312="",N(K1311),IF(ISNUMBER(SEARCH(Search!$B$3,$A1312&amp;"")),N(K1311)+1,N(K1311))))</f>
        <v>0</v>
      </c>
    </row>
    <row r="1313" customFormat="false" ht="15" hidden="false" customHeight="false" outlineLevel="0" collapsed="false">
      <c r="K1313" s="24" t="n">
        <f aca="false">IF(Search!$B$3="",0,IF($A1313="",N(K1312),IF(ISNUMBER(SEARCH(Search!$B$3,$A1313&amp;"")),N(K1312)+1,N(K1312))))</f>
        <v>0</v>
      </c>
    </row>
    <row r="1314" customFormat="false" ht="15" hidden="false" customHeight="false" outlineLevel="0" collapsed="false">
      <c r="K1314" s="24" t="n">
        <f aca="false">IF(Search!$B$3="",0,IF($A1314="",N(K1313),IF(ISNUMBER(SEARCH(Search!$B$3,$A1314&amp;"")),N(K1313)+1,N(K1313))))</f>
        <v>0</v>
      </c>
    </row>
    <row r="1315" customFormat="false" ht="15" hidden="false" customHeight="false" outlineLevel="0" collapsed="false">
      <c r="K1315" s="24" t="n">
        <f aca="false">IF(Search!$B$3="",0,IF($A1315="",N(K1314),IF(ISNUMBER(SEARCH(Search!$B$3,$A1315&amp;"")),N(K1314)+1,N(K1314))))</f>
        <v>0</v>
      </c>
    </row>
    <row r="1316" customFormat="false" ht="15" hidden="false" customHeight="false" outlineLevel="0" collapsed="false">
      <c r="K1316" s="24" t="n">
        <f aca="false">IF(Search!$B$3="",0,IF($A1316="",N(K1315),IF(ISNUMBER(SEARCH(Search!$B$3,$A1316&amp;"")),N(K1315)+1,N(K1315))))</f>
        <v>0</v>
      </c>
    </row>
    <row r="1317" customFormat="false" ht="15" hidden="false" customHeight="false" outlineLevel="0" collapsed="false">
      <c r="K1317" s="24" t="n">
        <f aca="false">IF(Search!$B$3="",0,IF($A1317="",N(K1316),IF(ISNUMBER(SEARCH(Search!$B$3,$A1317&amp;"")),N(K1316)+1,N(K1316))))</f>
        <v>0</v>
      </c>
    </row>
    <row r="1318" customFormat="false" ht="15" hidden="false" customHeight="false" outlineLevel="0" collapsed="false">
      <c r="K1318" s="24" t="n">
        <f aca="false">IF(Search!$B$3="",0,IF($A1318="",N(K1317),IF(ISNUMBER(SEARCH(Search!$B$3,$A1318&amp;"")),N(K1317)+1,N(K1317))))</f>
        <v>0</v>
      </c>
    </row>
    <row r="1319" customFormat="false" ht="15" hidden="false" customHeight="false" outlineLevel="0" collapsed="false">
      <c r="K1319" s="24" t="n">
        <f aca="false">IF(Search!$B$3="",0,IF($A1319="",N(K1318),IF(ISNUMBER(SEARCH(Search!$B$3,$A1319&amp;"")),N(K1318)+1,N(K1318))))</f>
        <v>0</v>
      </c>
    </row>
    <row r="1320" customFormat="false" ht="15" hidden="false" customHeight="false" outlineLevel="0" collapsed="false">
      <c r="K1320" s="24" t="n">
        <f aca="false">IF(Search!$B$3="",0,IF($A1320="",N(K1319),IF(ISNUMBER(SEARCH(Search!$B$3,$A1320&amp;"")),N(K1319)+1,N(K1319))))</f>
        <v>0</v>
      </c>
    </row>
    <row r="1321" customFormat="false" ht="15" hidden="false" customHeight="false" outlineLevel="0" collapsed="false">
      <c r="K1321" s="24" t="n">
        <f aca="false">IF(Search!$B$3="",0,IF($A1321="",N(K1320),IF(ISNUMBER(SEARCH(Search!$B$3,$A1321&amp;"")),N(K1320)+1,N(K1320))))</f>
        <v>0</v>
      </c>
    </row>
    <row r="1322" customFormat="false" ht="15" hidden="false" customHeight="false" outlineLevel="0" collapsed="false">
      <c r="K1322" s="24" t="n">
        <f aca="false">IF(Search!$B$3="",0,IF($A1322="",N(K1321),IF(ISNUMBER(SEARCH(Search!$B$3,$A1322&amp;"")),N(K1321)+1,N(K1321))))</f>
        <v>0</v>
      </c>
    </row>
    <row r="1323" customFormat="false" ht="15" hidden="false" customHeight="false" outlineLevel="0" collapsed="false">
      <c r="K1323" s="24" t="n">
        <f aca="false">IF(Search!$B$3="",0,IF($A1323="",N(K1322),IF(ISNUMBER(SEARCH(Search!$B$3,$A1323&amp;"")),N(K1322)+1,N(K1322))))</f>
        <v>0</v>
      </c>
    </row>
    <row r="1324" customFormat="false" ht="15" hidden="false" customHeight="false" outlineLevel="0" collapsed="false">
      <c r="K1324" s="24" t="n">
        <f aca="false">IF(Search!$B$3="",0,IF($A1324="",N(K1323),IF(ISNUMBER(SEARCH(Search!$B$3,$A1324&amp;"")),N(K1323)+1,N(K1323))))</f>
        <v>0</v>
      </c>
    </row>
    <row r="1325" customFormat="false" ht="15" hidden="false" customHeight="false" outlineLevel="0" collapsed="false">
      <c r="K1325" s="24" t="n">
        <f aca="false">IF(Search!$B$3="",0,IF($A1325="",N(K1324),IF(ISNUMBER(SEARCH(Search!$B$3,$A1325&amp;"")),N(K1324)+1,N(K1324))))</f>
        <v>0</v>
      </c>
    </row>
    <row r="1326" customFormat="false" ht="15" hidden="false" customHeight="false" outlineLevel="0" collapsed="false">
      <c r="K1326" s="24" t="n">
        <f aca="false">IF(Search!$B$3="",0,IF($A1326="",N(K1325),IF(ISNUMBER(SEARCH(Search!$B$3,$A1326&amp;"")),N(K1325)+1,N(K1325))))</f>
        <v>0</v>
      </c>
    </row>
    <row r="1327" customFormat="false" ht="15" hidden="false" customHeight="false" outlineLevel="0" collapsed="false">
      <c r="K1327" s="24" t="n">
        <f aca="false">IF(Search!$B$3="",0,IF($A1327="",N(K1326),IF(ISNUMBER(SEARCH(Search!$B$3,$A1327&amp;"")),N(K1326)+1,N(K1326))))</f>
        <v>0</v>
      </c>
    </row>
    <row r="1328" customFormat="false" ht="15" hidden="false" customHeight="false" outlineLevel="0" collapsed="false">
      <c r="K1328" s="24" t="n">
        <f aca="false">IF(Search!$B$3="",0,IF($A1328="",N(K1327),IF(ISNUMBER(SEARCH(Search!$B$3,$A1328&amp;"")),N(K1327)+1,N(K1327))))</f>
        <v>0</v>
      </c>
    </row>
    <row r="1329" customFormat="false" ht="15" hidden="false" customHeight="false" outlineLevel="0" collapsed="false">
      <c r="K1329" s="24" t="n">
        <f aca="false">IF(Search!$B$3="",0,IF($A1329="",N(K1328),IF(ISNUMBER(SEARCH(Search!$B$3,$A1329&amp;"")),N(K1328)+1,N(K1328))))</f>
        <v>0</v>
      </c>
    </row>
    <row r="1330" customFormat="false" ht="15" hidden="false" customHeight="false" outlineLevel="0" collapsed="false">
      <c r="K1330" s="24" t="n">
        <f aca="false">IF(Search!$B$3="",0,IF($A1330="",N(K1329),IF(ISNUMBER(SEARCH(Search!$B$3,$A1330&amp;"")),N(K1329)+1,N(K1329))))</f>
        <v>0</v>
      </c>
    </row>
    <row r="1331" customFormat="false" ht="15" hidden="false" customHeight="false" outlineLevel="0" collapsed="false">
      <c r="K1331" s="24" t="n">
        <f aca="false">IF(Search!$B$3="",0,IF($A1331="",N(K1330),IF(ISNUMBER(SEARCH(Search!$B$3,$A1331&amp;"")),N(K1330)+1,N(K1330))))</f>
        <v>0</v>
      </c>
    </row>
    <row r="1332" customFormat="false" ht="15" hidden="false" customHeight="false" outlineLevel="0" collapsed="false">
      <c r="K1332" s="24" t="n">
        <f aca="false">IF(Search!$B$3="",0,IF($A1332="",N(K1331),IF(ISNUMBER(SEARCH(Search!$B$3,$A1332&amp;"")),N(K1331)+1,N(K1331))))</f>
        <v>0</v>
      </c>
    </row>
    <row r="1333" customFormat="false" ht="15" hidden="false" customHeight="false" outlineLevel="0" collapsed="false">
      <c r="K1333" s="24" t="n">
        <f aca="false">IF(Search!$B$3="",0,IF($A1333="",N(K1332),IF(ISNUMBER(SEARCH(Search!$B$3,$A1333&amp;"")),N(K1332)+1,N(K1332))))</f>
        <v>0</v>
      </c>
    </row>
    <row r="1334" customFormat="false" ht="15" hidden="false" customHeight="false" outlineLevel="0" collapsed="false">
      <c r="K1334" s="24" t="n">
        <f aca="false">IF(Search!$B$3="",0,IF($A1334="",N(K1333),IF(ISNUMBER(SEARCH(Search!$B$3,$A1334&amp;"")),N(K1333)+1,N(K1333))))</f>
        <v>0</v>
      </c>
    </row>
    <row r="1335" customFormat="false" ht="15" hidden="false" customHeight="false" outlineLevel="0" collapsed="false">
      <c r="K1335" s="24" t="n">
        <f aca="false">IF(Search!$B$3="",0,IF($A1335="",N(K1334),IF(ISNUMBER(SEARCH(Search!$B$3,$A1335&amp;"")),N(K1334)+1,N(K1334))))</f>
        <v>0</v>
      </c>
    </row>
    <row r="1336" customFormat="false" ht="15" hidden="false" customHeight="false" outlineLevel="0" collapsed="false">
      <c r="K1336" s="24" t="n">
        <f aca="false">IF(Search!$B$3="",0,IF($A1336="",N(K1335),IF(ISNUMBER(SEARCH(Search!$B$3,$A1336&amp;"")),N(K1335)+1,N(K1335))))</f>
        <v>0</v>
      </c>
    </row>
    <row r="1337" customFormat="false" ht="15" hidden="false" customHeight="false" outlineLevel="0" collapsed="false">
      <c r="K1337" s="24" t="n">
        <f aca="false">IF(Search!$B$3="",0,IF($A1337="",N(K1336),IF(ISNUMBER(SEARCH(Search!$B$3,$A1337&amp;"")),N(K1336)+1,N(K1336))))</f>
        <v>0</v>
      </c>
    </row>
    <row r="1338" customFormat="false" ht="15" hidden="false" customHeight="false" outlineLevel="0" collapsed="false">
      <c r="K1338" s="24" t="n">
        <f aca="false">IF(Search!$B$3="",0,IF($A1338="",N(K1337),IF(ISNUMBER(SEARCH(Search!$B$3,$A1338&amp;"")),N(K1337)+1,N(K1337))))</f>
        <v>0</v>
      </c>
    </row>
    <row r="1339" customFormat="false" ht="15" hidden="false" customHeight="false" outlineLevel="0" collapsed="false">
      <c r="K1339" s="24" t="n">
        <f aca="false">IF(Search!$B$3="",0,IF($A1339="",N(K1338),IF(ISNUMBER(SEARCH(Search!$B$3,$A1339&amp;"")),N(K1338)+1,N(K1338))))</f>
        <v>0</v>
      </c>
    </row>
    <row r="1340" customFormat="false" ht="15" hidden="false" customHeight="false" outlineLevel="0" collapsed="false">
      <c r="K1340" s="24" t="n">
        <f aca="false">IF(Search!$B$3="",0,IF($A1340="",N(K1339),IF(ISNUMBER(SEARCH(Search!$B$3,$A1340&amp;"")),N(K1339)+1,N(K1339))))</f>
        <v>0</v>
      </c>
    </row>
    <row r="1341" customFormat="false" ht="15" hidden="false" customHeight="false" outlineLevel="0" collapsed="false">
      <c r="K1341" s="24" t="n">
        <f aca="false">IF(Search!$B$3="",0,IF($A1341="",N(K1340),IF(ISNUMBER(SEARCH(Search!$B$3,$A1341&amp;"")),N(K1340)+1,N(K1340))))</f>
        <v>0</v>
      </c>
    </row>
    <row r="1342" customFormat="false" ht="15" hidden="false" customHeight="false" outlineLevel="0" collapsed="false">
      <c r="K1342" s="24" t="n">
        <f aca="false">IF(Search!$B$3="",0,IF($A1342="",N(K1341),IF(ISNUMBER(SEARCH(Search!$B$3,$A1342&amp;"")),N(K1341)+1,N(K1341))))</f>
        <v>0</v>
      </c>
    </row>
    <row r="1343" customFormat="false" ht="15" hidden="false" customHeight="false" outlineLevel="0" collapsed="false">
      <c r="K1343" s="24" t="n">
        <f aca="false">IF(Search!$B$3="",0,IF($A1343="",N(K1342),IF(ISNUMBER(SEARCH(Search!$B$3,$A1343&amp;"")),N(K1342)+1,N(K1342))))</f>
        <v>0</v>
      </c>
    </row>
    <row r="1344" customFormat="false" ht="15" hidden="false" customHeight="false" outlineLevel="0" collapsed="false">
      <c r="K1344" s="24" t="n">
        <f aca="false">IF(Search!$B$3="",0,IF($A1344="",N(K1343),IF(ISNUMBER(SEARCH(Search!$B$3,$A1344&amp;"")),N(K1343)+1,N(K1343))))</f>
        <v>0</v>
      </c>
    </row>
    <row r="1345" customFormat="false" ht="15" hidden="false" customHeight="false" outlineLevel="0" collapsed="false">
      <c r="K1345" s="24" t="n">
        <f aca="false">IF(Search!$B$3="",0,IF($A1345="",N(K1344),IF(ISNUMBER(SEARCH(Search!$B$3,$A1345&amp;"")),N(K1344)+1,N(K1344))))</f>
        <v>0</v>
      </c>
    </row>
    <row r="1346" customFormat="false" ht="15" hidden="false" customHeight="false" outlineLevel="0" collapsed="false">
      <c r="K1346" s="24" t="n">
        <f aca="false">IF(Search!$B$3="",0,IF($A1346="",N(K1345),IF(ISNUMBER(SEARCH(Search!$B$3,$A1346&amp;"")),N(K1345)+1,N(K1345))))</f>
        <v>0</v>
      </c>
    </row>
    <row r="1347" customFormat="false" ht="15" hidden="false" customHeight="false" outlineLevel="0" collapsed="false">
      <c r="K1347" s="24" t="n">
        <f aca="false">IF(Search!$B$3="",0,IF($A1347="",N(K1346),IF(ISNUMBER(SEARCH(Search!$B$3,$A1347&amp;"")),N(K1346)+1,N(K1346))))</f>
        <v>0</v>
      </c>
    </row>
    <row r="1348" customFormat="false" ht="15" hidden="false" customHeight="false" outlineLevel="0" collapsed="false">
      <c r="K1348" s="24" t="n">
        <f aca="false">IF(Search!$B$3="",0,IF($A1348="",N(K1347),IF(ISNUMBER(SEARCH(Search!$B$3,$A1348&amp;"")),N(K1347)+1,N(K1347))))</f>
        <v>0</v>
      </c>
    </row>
    <row r="1349" customFormat="false" ht="15" hidden="false" customHeight="false" outlineLevel="0" collapsed="false">
      <c r="K1349" s="24" t="n">
        <f aca="false">IF(Search!$B$3="",0,IF($A1349="",N(K1348),IF(ISNUMBER(SEARCH(Search!$B$3,$A1349&amp;"")),N(K1348)+1,N(K1348))))</f>
        <v>0</v>
      </c>
    </row>
    <row r="1350" customFormat="false" ht="15" hidden="false" customHeight="false" outlineLevel="0" collapsed="false">
      <c r="K1350" s="24" t="n">
        <f aca="false">IF(Search!$B$3="",0,IF($A1350="",N(K1349),IF(ISNUMBER(SEARCH(Search!$B$3,$A1350&amp;"")),N(K1349)+1,N(K1349))))</f>
        <v>0</v>
      </c>
    </row>
    <row r="1351" customFormat="false" ht="15" hidden="false" customHeight="false" outlineLevel="0" collapsed="false">
      <c r="K1351" s="24" t="n">
        <f aca="false">IF(Search!$B$3="",0,IF($A1351="",N(K1350),IF(ISNUMBER(SEARCH(Search!$B$3,$A1351&amp;"")),N(K1350)+1,N(K1350))))</f>
        <v>0</v>
      </c>
    </row>
    <row r="1352" customFormat="false" ht="15" hidden="false" customHeight="false" outlineLevel="0" collapsed="false">
      <c r="K1352" s="24" t="n">
        <f aca="false">IF(Search!$B$3="",0,IF($A1352="",N(K1351),IF(ISNUMBER(SEARCH(Search!$B$3,$A1352&amp;"")),N(K1351)+1,N(K1351))))</f>
        <v>0</v>
      </c>
    </row>
    <row r="1353" customFormat="false" ht="15" hidden="false" customHeight="false" outlineLevel="0" collapsed="false">
      <c r="K1353" s="24" t="n">
        <f aca="false">IF(Search!$B$3="",0,IF($A1353="",N(K1352),IF(ISNUMBER(SEARCH(Search!$B$3,$A1353&amp;"")),N(K1352)+1,N(K1352))))</f>
        <v>0</v>
      </c>
    </row>
    <row r="1354" customFormat="false" ht="15" hidden="false" customHeight="false" outlineLevel="0" collapsed="false">
      <c r="K1354" s="24" t="n">
        <f aca="false">IF(Search!$B$3="",0,IF($A1354="",N(K1353),IF(ISNUMBER(SEARCH(Search!$B$3,$A1354&amp;"")),N(K1353)+1,N(K1353))))</f>
        <v>0</v>
      </c>
    </row>
    <row r="1355" customFormat="false" ht="15" hidden="false" customHeight="false" outlineLevel="0" collapsed="false">
      <c r="K1355" s="24" t="n">
        <f aca="false">IF(Search!$B$3="",0,IF($A1355="",N(K1354),IF(ISNUMBER(SEARCH(Search!$B$3,$A1355&amp;"")),N(K1354)+1,N(K1354))))</f>
        <v>0</v>
      </c>
    </row>
    <row r="1356" customFormat="false" ht="15" hidden="false" customHeight="false" outlineLevel="0" collapsed="false">
      <c r="K1356" s="24" t="n">
        <f aca="false">IF(Search!$B$3="",0,IF($A1356="",N(K1355),IF(ISNUMBER(SEARCH(Search!$B$3,$A1356&amp;"")),N(K1355)+1,N(K1355))))</f>
        <v>0</v>
      </c>
    </row>
    <row r="1357" customFormat="false" ht="15" hidden="false" customHeight="false" outlineLevel="0" collapsed="false">
      <c r="K1357" s="24" t="n">
        <f aca="false">IF(Search!$B$3="",0,IF($A1357="",N(K1356),IF(ISNUMBER(SEARCH(Search!$B$3,$A1357&amp;"")),N(K1356)+1,N(K1356))))</f>
        <v>0</v>
      </c>
    </row>
    <row r="1358" customFormat="false" ht="15" hidden="false" customHeight="false" outlineLevel="0" collapsed="false">
      <c r="K1358" s="24" t="n">
        <f aca="false">IF(Search!$B$3="",0,IF($A1358="",N(K1357),IF(ISNUMBER(SEARCH(Search!$B$3,$A1358&amp;"")),N(K1357)+1,N(K1357))))</f>
        <v>0</v>
      </c>
    </row>
    <row r="1359" customFormat="false" ht="15" hidden="false" customHeight="false" outlineLevel="0" collapsed="false">
      <c r="K1359" s="24" t="n">
        <f aca="false">IF(Search!$B$3="",0,IF($A1359="",N(K1358),IF(ISNUMBER(SEARCH(Search!$B$3,$A1359&amp;"")),N(K1358)+1,N(K1358))))</f>
        <v>0</v>
      </c>
    </row>
    <row r="1360" customFormat="false" ht="15" hidden="false" customHeight="false" outlineLevel="0" collapsed="false">
      <c r="K1360" s="24" t="n">
        <f aca="false">IF(Search!$B$3="",0,IF($A1360="",N(K1359),IF(ISNUMBER(SEARCH(Search!$B$3,$A1360&amp;"")),N(K1359)+1,N(K1359))))</f>
        <v>0</v>
      </c>
    </row>
    <row r="1361" customFormat="false" ht="15" hidden="false" customHeight="false" outlineLevel="0" collapsed="false">
      <c r="K1361" s="24" t="n">
        <f aca="false">IF(Search!$B$3="",0,IF($A1361="",N(K1360),IF(ISNUMBER(SEARCH(Search!$B$3,$A1361&amp;"")),N(K1360)+1,N(K1360))))</f>
        <v>0</v>
      </c>
    </row>
    <row r="1362" customFormat="false" ht="15" hidden="false" customHeight="false" outlineLevel="0" collapsed="false">
      <c r="K1362" s="24" t="n">
        <f aca="false">IF(Search!$B$3="",0,IF($A1362="",N(K1361),IF(ISNUMBER(SEARCH(Search!$B$3,$A1362&amp;"")),N(K1361)+1,N(K1361))))</f>
        <v>0</v>
      </c>
    </row>
    <row r="1363" customFormat="false" ht="15" hidden="false" customHeight="false" outlineLevel="0" collapsed="false">
      <c r="K1363" s="24" t="n">
        <f aca="false">IF(Search!$B$3="",0,IF($A1363="",N(K1362),IF(ISNUMBER(SEARCH(Search!$B$3,$A1363&amp;"")),N(K1362)+1,N(K1362))))</f>
        <v>0</v>
      </c>
    </row>
    <row r="1364" customFormat="false" ht="15" hidden="false" customHeight="false" outlineLevel="0" collapsed="false">
      <c r="K1364" s="24" t="n">
        <f aca="false">IF(Search!$B$3="",0,IF($A1364="",N(K1363),IF(ISNUMBER(SEARCH(Search!$B$3,$A1364&amp;"")),N(K1363)+1,N(K1363))))</f>
        <v>0</v>
      </c>
    </row>
    <row r="1365" customFormat="false" ht="15" hidden="false" customHeight="false" outlineLevel="0" collapsed="false">
      <c r="K1365" s="24" t="n">
        <f aca="false">IF(Search!$B$3="",0,IF($A1365="",N(K1364),IF(ISNUMBER(SEARCH(Search!$B$3,$A1365&amp;"")),N(K1364)+1,N(K1364))))</f>
        <v>0</v>
      </c>
    </row>
    <row r="1366" customFormat="false" ht="15" hidden="false" customHeight="false" outlineLevel="0" collapsed="false">
      <c r="K1366" s="24" t="n">
        <f aca="false">IF(Search!$B$3="",0,IF($A1366="",N(K1365),IF(ISNUMBER(SEARCH(Search!$B$3,$A1366&amp;"")),N(K1365)+1,N(K1365))))</f>
        <v>0</v>
      </c>
    </row>
    <row r="1367" customFormat="false" ht="15" hidden="false" customHeight="false" outlineLevel="0" collapsed="false">
      <c r="K1367" s="24" t="n">
        <f aca="false">IF(Search!$B$3="",0,IF($A1367="",N(K1366),IF(ISNUMBER(SEARCH(Search!$B$3,$A1367&amp;"")),N(K1366)+1,N(K1366))))</f>
        <v>0</v>
      </c>
    </row>
    <row r="1368" customFormat="false" ht="15" hidden="false" customHeight="false" outlineLevel="0" collapsed="false">
      <c r="K1368" s="24" t="n">
        <f aca="false">IF(Search!$B$3="",0,IF($A1368="",N(K1367),IF(ISNUMBER(SEARCH(Search!$B$3,$A1368&amp;"")),N(K1367)+1,N(K1367))))</f>
        <v>0</v>
      </c>
    </row>
    <row r="1369" customFormat="false" ht="15" hidden="false" customHeight="false" outlineLevel="0" collapsed="false">
      <c r="K1369" s="24" t="n">
        <f aca="false">IF(Search!$B$3="",0,IF($A1369="",N(K1368),IF(ISNUMBER(SEARCH(Search!$B$3,$A1369&amp;"")),N(K1368)+1,N(K1368))))</f>
        <v>0</v>
      </c>
    </row>
    <row r="1370" customFormat="false" ht="15" hidden="false" customHeight="false" outlineLevel="0" collapsed="false">
      <c r="K1370" s="24" t="n">
        <f aca="false">IF(Search!$B$3="",0,IF($A1370="",N(K1369),IF(ISNUMBER(SEARCH(Search!$B$3,$A1370&amp;"")),N(K1369)+1,N(K1369))))</f>
        <v>0</v>
      </c>
    </row>
    <row r="1371" customFormat="false" ht="15" hidden="false" customHeight="false" outlineLevel="0" collapsed="false">
      <c r="K1371" s="24" t="n">
        <f aca="false">IF(Search!$B$3="",0,IF($A1371="",N(K1370),IF(ISNUMBER(SEARCH(Search!$B$3,$A1371&amp;"")),N(K1370)+1,N(K1370))))</f>
        <v>0</v>
      </c>
    </row>
    <row r="1372" customFormat="false" ht="15" hidden="false" customHeight="false" outlineLevel="0" collapsed="false">
      <c r="K1372" s="24" t="n">
        <f aca="false">IF(Search!$B$3="",0,IF($A1372="",N(K1371),IF(ISNUMBER(SEARCH(Search!$B$3,$A1372&amp;"")),N(K1371)+1,N(K1371))))</f>
        <v>0</v>
      </c>
    </row>
    <row r="1373" customFormat="false" ht="15" hidden="false" customHeight="false" outlineLevel="0" collapsed="false">
      <c r="K1373" s="24" t="n">
        <f aca="false">IF(Search!$B$3="",0,IF($A1373="",N(K1372),IF(ISNUMBER(SEARCH(Search!$B$3,$A1373&amp;"")),N(K1372)+1,N(K1372))))</f>
        <v>0</v>
      </c>
    </row>
    <row r="1374" customFormat="false" ht="15" hidden="false" customHeight="false" outlineLevel="0" collapsed="false">
      <c r="K1374" s="24" t="n">
        <f aca="false">IF(Search!$B$3="",0,IF($A1374="",N(K1373),IF(ISNUMBER(SEARCH(Search!$B$3,$A1374&amp;"")),N(K1373)+1,N(K1373))))</f>
        <v>0</v>
      </c>
    </row>
    <row r="1375" customFormat="false" ht="15" hidden="false" customHeight="false" outlineLevel="0" collapsed="false">
      <c r="K1375" s="24" t="n">
        <f aca="false">IF(Search!$B$3="",0,IF($A1375="",N(K1374),IF(ISNUMBER(SEARCH(Search!$B$3,$A1375&amp;"")),N(K1374)+1,N(K1374))))</f>
        <v>0</v>
      </c>
    </row>
    <row r="1376" customFormat="false" ht="15" hidden="false" customHeight="false" outlineLevel="0" collapsed="false">
      <c r="K1376" s="24" t="n">
        <f aca="false">IF(Search!$B$3="",0,IF($A1376="",N(K1375),IF(ISNUMBER(SEARCH(Search!$B$3,$A1376&amp;"")),N(K1375)+1,N(K1375))))</f>
        <v>0</v>
      </c>
    </row>
    <row r="1377" customFormat="false" ht="15" hidden="false" customHeight="false" outlineLevel="0" collapsed="false">
      <c r="K1377" s="24" t="n">
        <f aca="false">IF(Search!$B$3="",0,IF($A1377="",N(K1376),IF(ISNUMBER(SEARCH(Search!$B$3,$A1377&amp;"")),N(K1376)+1,N(K1376))))</f>
        <v>0</v>
      </c>
    </row>
    <row r="1378" customFormat="false" ht="15" hidden="false" customHeight="false" outlineLevel="0" collapsed="false">
      <c r="K1378" s="24" t="n">
        <f aca="false">IF(Search!$B$3="",0,IF($A1378="",N(K1377),IF(ISNUMBER(SEARCH(Search!$B$3,$A1378&amp;"")),N(K1377)+1,N(K1377))))</f>
        <v>0</v>
      </c>
    </row>
    <row r="1379" customFormat="false" ht="15" hidden="false" customHeight="false" outlineLevel="0" collapsed="false">
      <c r="K1379" s="24" t="n">
        <f aca="false">IF(Search!$B$3="",0,IF($A1379="",N(K1378),IF(ISNUMBER(SEARCH(Search!$B$3,$A1379&amp;"")),N(K1378)+1,N(K1378))))</f>
        <v>0</v>
      </c>
    </row>
    <row r="1380" customFormat="false" ht="15" hidden="false" customHeight="false" outlineLevel="0" collapsed="false">
      <c r="K1380" s="24" t="n">
        <f aca="false">IF(Search!$B$3="",0,IF($A1380="",N(K1379),IF(ISNUMBER(SEARCH(Search!$B$3,$A1380&amp;"")),N(K1379)+1,N(K1379))))</f>
        <v>0</v>
      </c>
    </row>
    <row r="1381" customFormat="false" ht="15" hidden="false" customHeight="false" outlineLevel="0" collapsed="false">
      <c r="K1381" s="24" t="n">
        <f aca="false">IF(Search!$B$3="",0,IF($A1381="",N(K1380),IF(ISNUMBER(SEARCH(Search!$B$3,$A1381&amp;"")),N(K1380)+1,N(K1380))))</f>
        <v>0</v>
      </c>
    </row>
    <row r="1382" customFormat="false" ht="15" hidden="false" customHeight="false" outlineLevel="0" collapsed="false">
      <c r="K1382" s="24" t="n">
        <f aca="false">IF(Search!$B$3="",0,IF($A1382="",N(K1381),IF(ISNUMBER(SEARCH(Search!$B$3,$A1382&amp;"")),N(K1381)+1,N(K1381))))</f>
        <v>0</v>
      </c>
    </row>
    <row r="1383" customFormat="false" ht="15" hidden="false" customHeight="false" outlineLevel="0" collapsed="false">
      <c r="K1383" s="24" t="n">
        <f aca="false">IF(Search!$B$3="",0,IF($A1383="",N(K1382),IF(ISNUMBER(SEARCH(Search!$B$3,$A1383&amp;"")),N(K1382)+1,N(K1382))))</f>
        <v>0</v>
      </c>
    </row>
    <row r="1384" customFormat="false" ht="15" hidden="false" customHeight="false" outlineLevel="0" collapsed="false">
      <c r="K1384" s="24" t="n">
        <f aca="false">IF(Search!$B$3="",0,IF($A1384="",N(K1383),IF(ISNUMBER(SEARCH(Search!$B$3,$A1384&amp;"")),N(K1383)+1,N(K1383))))</f>
        <v>0</v>
      </c>
    </row>
    <row r="1385" customFormat="false" ht="15" hidden="false" customHeight="false" outlineLevel="0" collapsed="false">
      <c r="K1385" s="24" t="n">
        <f aca="false">IF(Search!$B$3="",0,IF($A1385="",N(K1384),IF(ISNUMBER(SEARCH(Search!$B$3,$A1385&amp;"")),N(K1384)+1,N(K1384))))</f>
        <v>0</v>
      </c>
    </row>
    <row r="1386" customFormat="false" ht="15" hidden="false" customHeight="false" outlineLevel="0" collapsed="false">
      <c r="K1386" s="24" t="n">
        <f aca="false">IF(Search!$B$3="",0,IF($A1386="",N(K1385),IF(ISNUMBER(SEARCH(Search!$B$3,$A1386&amp;"")),N(K1385)+1,N(K1385))))</f>
        <v>0</v>
      </c>
    </row>
    <row r="1387" customFormat="false" ht="15" hidden="false" customHeight="false" outlineLevel="0" collapsed="false">
      <c r="K1387" s="24" t="n">
        <f aca="false">IF(Search!$B$3="",0,IF($A1387="",N(K1386),IF(ISNUMBER(SEARCH(Search!$B$3,$A1387&amp;"")),N(K1386)+1,N(K1386))))</f>
        <v>0</v>
      </c>
    </row>
    <row r="1388" customFormat="false" ht="15" hidden="false" customHeight="false" outlineLevel="0" collapsed="false">
      <c r="K1388" s="24" t="n">
        <f aca="false">IF(Search!$B$3="",0,IF($A1388="",N(K1387),IF(ISNUMBER(SEARCH(Search!$B$3,$A1388&amp;"")),N(K1387)+1,N(K1387))))</f>
        <v>0</v>
      </c>
    </row>
    <row r="1389" customFormat="false" ht="15" hidden="false" customHeight="false" outlineLevel="0" collapsed="false">
      <c r="K1389" s="24" t="n">
        <f aca="false">IF(Search!$B$3="",0,IF($A1389="",N(K1388),IF(ISNUMBER(SEARCH(Search!$B$3,$A1389&amp;"")),N(K1388)+1,N(K1388))))</f>
        <v>0</v>
      </c>
    </row>
    <row r="1390" customFormat="false" ht="15" hidden="false" customHeight="false" outlineLevel="0" collapsed="false">
      <c r="K1390" s="24" t="n">
        <f aca="false">IF(Search!$B$3="",0,IF($A1390="",N(K1389),IF(ISNUMBER(SEARCH(Search!$B$3,$A1390&amp;"")),N(K1389)+1,N(K1389))))</f>
        <v>0</v>
      </c>
    </row>
    <row r="1391" customFormat="false" ht="15" hidden="false" customHeight="false" outlineLevel="0" collapsed="false">
      <c r="K1391" s="24" t="n">
        <f aca="false">IF(Search!$B$3="",0,IF($A1391="",N(K1390),IF(ISNUMBER(SEARCH(Search!$B$3,$A1391&amp;"")),N(K1390)+1,N(K1390))))</f>
        <v>0</v>
      </c>
    </row>
    <row r="1392" customFormat="false" ht="15" hidden="false" customHeight="false" outlineLevel="0" collapsed="false">
      <c r="K1392" s="24" t="n">
        <f aca="false">IF(Search!$B$3="",0,IF($A1392="",N(K1391),IF(ISNUMBER(SEARCH(Search!$B$3,$A1392&amp;"")),N(K1391)+1,N(K1391))))</f>
        <v>0</v>
      </c>
    </row>
    <row r="1393" customFormat="false" ht="15" hidden="false" customHeight="false" outlineLevel="0" collapsed="false">
      <c r="K1393" s="24" t="n">
        <f aca="false">IF(Search!$B$3="",0,IF($A1393="",N(K1392),IF(ISNUMBER(SEARCH(Search!$B$3,$A1393&amp;"")),N(K1392)+1,N(K1392))))</f>
        <v>0</v>
      </c>
    </row>
    <row r="1394" customFormat="false" ht="15" hidden="false" customHeight="false" outlineLevel="0" collapsed="false">
      <c r="K1394" s="24" t="n">
        <f aca="false">IF(Search!$B$3="",0,IF($A1394="",N(K1393),IF(ISNUMBER(SEARCH(Search!$B$3,$A1394&amp;"")),N(K1393)+1,N(K1393))))</f>
        <v>0</v>
      </c>
    </row>
    <row r="1395" customFormat="false" ht="15" hidden="false" customHeight="false" outlineLevel="0" collapsed="false">
      <c r="K1395" s="24" t="n">
        <f aca="false">IF(Search!$B$3="",0,IF($A1395="",N(K1394),IF(ISNUMBER(SEARCH(Search!$B$3,$A1395&amp;"")),N(K1394)+1,N(K1394))))</f>
        <v>0</v>
      </c>
    </row>
    <row r="1396" customFormat="false" ht="15" hidden="false" customHeight="false" outlineLevel="0" collapsed="false">
      <c r="K1396" s="24" t="n">
        <f aca="false">IF(Search!$B$3="",0,IF($A1396="",N(K1395),IF(ISNUMBER(SEARCH(Search!$B$3,$A1396&amp;"")),N(K1395)+1,N(K1395))))</f>
        <v>0</v>
      </c>
    </row>
    <row r="1397" customFormat="false" ht="15" hidden="false" customHeight="false" outlineLevel="0" collapsed="false">
      <c r="K1397" s="24" t="n">
        <f aca="false">IF(Search!$B$3="",0,IF($A1397="",N(K1396),IF(ISNUMBER(SEARCH(Search!$B$3,$A1397&amp;"")),N(K1396)+1,N(K1396))))</f>
        <v>0</v>
      </c>
    </row>
    <row r="1398" customFormat="false" ht="15" hidden="false" customHeight="false" outlineLevel="0" collapsed="false">
      <c r="K1398" s="24" t="n">
        <f aca="false">IF(Search!$B$3="",0,IF($A1398="",N(K1397),IF(ISNUMBER(SEARCH(Search!$B$3,$A1398&amp;"")),N(K1397)+1,N(K1397))))</f>
        <v>0</v>
      </c>
    </row>
    <row r="1399" customFormat="false" ht="15" hidden="false" customHeight="false" outlineLevel="0" collapsed="false">
      <c r="K1399" s="24" t="n">
        <f aca="false">IF(Search!$B$3="",0,IF($A1399="",N(K1398),IF(ISNUMBER(SEARCH(Search!$B$3,$A1399&amp;"")),N(K1398)+1,N(K1398))))</f>
        <v>0</v>
      </c>
    </row>
    <row r="1400" customFormat="false" ht="15" hidden="false" customHeight="false" outlineLevel="0" collapsed="false">
      <c r="K1400" s="24" t="n">
        <f aca="false">IF(Search!$B$3="",0,IF($A1400="",N(K1399),IF(ISNUMBER(SEARCH(Search!$B$3,$A1400&amp;"")),N(K1399)+1,N(K1399))))</f>
        <v>0</v>
      </c>
    </row>
    <row r="1401" customFormat="false" ht="15" hidden="false" customHeight="false" outlineLevel="0" collapsed="false">
      <c r="K1401" s="24" t="n">
        <f aca="false">IF(Search!$B$3="",0,IF($A1401="",N(K1400),IF(ISNUMBER(SEARCH(Search!$B$3,$A1401&amp;"")),N(K1400)+1,N(K1400))))</f>
        <v>0</v>
      </c>
    </row>
    <row r="1402" customFormat="false" ht="15" hidden="false" customHeight="false" outlineLevel="0" collapsed="false">
      <c r="K1402" s="24" t="n">
        <f aca="false">IF(Search!$B$3="",0,IF($A1402="",N(K1401),IF(ISNUMBER(SEARCH(Search!$B$3,$A1402&amp;"")),N(K1401)+1,N(K1401))))</f>
        <v>0</v>
      </c>
    </row>
    <row r="1403" customFormat="false" ht="15" hidden="false" customHeight="false" outlineLevel="0" collapsed="false">
      <c r="K1403" s="24" t="n">
        <f aca="false">IF(Search!$B$3="",0,IF($A1403="",N(K1402),IF(ISNUMBER(SEARCH(Search!$B$3,$A1403&amp;"")),N(K1402)+1,N(K1402))))</f>
        <v>0</v>
      </c>
    </row>
    <row r="1404" customFormat="false" ht="15" hidden="false" customHeight="false" outlineLevel="0" collapsed="false">
      <c r="K1404" s="24" t="n">
        <f aca="false">IF(Search!$B$3="",0,IF($A1404="",N(K1403),IF(ISNUMBER(SEARCH(Search!$B$3,$A1404&amp;"")),N(K1403)+1,N(K1403))))</f>
        <v>0</v>
      </c>
    </row>
    <row r="1405" customFormat="false" ht="15" hidden="false" customHeight="false" outlineLevel="0" collapsed="false">
      <c r="K1405" s="24" t="n">
        <f aca="false">IF(Search!$B$3="",0,IF($A1405="",N(K1404),IF(ISNUMBER(SEARCH(Search!$B$3,$A1405&amp;"")),N(K1404)+1,N(K1404))))</f>
        <v>0</v>
      </c>
    </row>
    <row r="1406" customFormat="false" ht="15" hidden="false" customHeight="false" outlineLevel="0" collapsed="false">
      <c r="K1406" s="24" t="n">
        <f aca="false">IF(Search!$B$3="",0,IF($A1406="",N(K1405),IF(ISNUMBER(SEARCH(Search!$B$3,$A1406&amp;"")),N(K1405)+1,N(K1405))))</f>
        <v>0</v>
      </c>
    </row>
    <row r="1407" customFormat="false" ht="15" hidden="false" customHeight="false" outlineLevel="0" collapsed="false">
      <c r="K1407" s="24" t="n">
        <f aca="false">IF(Search!$B$3="",0,IF($A1407="",N(K1406),IF(ISNUMBER(SEARCH(Search!$B$3,$A1407&amp;"")),N(K1406)+1,N(K1406))))</f>
        <v>0</v>
      </c>
    </row>
    <row r="1408" customFormat="false" ht="15" hidden="false" customHeight="false" outlineLevel="0" collapsed="false">
      <c r="K1408" s="24" t="n">
        <f aca="false">IF(Search!$B$3="",0,IF($A1408="",N(K1407),IF(ISNUMBER(SEARCH(Search!$B$3,$A1408&amp;"")),N(K1407)+1,N(K1407))))</f>
        <v>0</v>
      </c>
    </row>
    <row r="1409" customFormat="false" ht="15" hidden="false" customHeight="false" outlineLevel="0" collapsed="false">
      <c r="K1409" s="24" t="n">
        <f aca="false">IF(Search!$B$3="",0,IF($A1409="",N(K1408),IF(ISNUMBER(SEARCH(Search!$B$3,$A1409&amp;"")),N(K1408)+1,N(K1408))))</f>
        <v>0</v>
      </c>
    </row>
    <row r="1410" customFormat="false" ht="15" hidden="false" customHeight="false" outlineLevel="0" collapsed="false">
      <c r="K1410" s="24" t="n">
        <f aca="false">IF(Search!$B$3="",0,IF($A1410="",N(K1409),IF(ISNUMBER(SEARCH(Search!$B$3,$A1410&amp;"")),N(K1409)+1,N(K1409))))</f>
        <v>0</v>
      </c>
    </row>
    <row r="1411" customFormat="false" ht="15" hidden="false" customHeight="false" outlineLevel="0" collapsed="false">
      <c r="K1411" s="24" t="n">
        <f aca="false">IF(Search!$B$3="",0,IF($A1411="",N(K1410),IF(ISNUMBER(SEARCH(Search!$B$3,$A1411&amp;"")),N(K1410)+1,N(K1410))))</f>
        <v>0</v>
      </c>
    </row>
    <row r="1412" customFormat="false" ht="15" hidden="false" customHeight="false" outlineLevel="0" collapsed="false">
      <c r="K1412" s="24" t="n">
        <f aca="false">IF(Search!$B$3="",0,IF($A1412="",N(K1411),IF(ISNUMBER(SEARCH(Search!$B$3,$A1412&amp;"")),N(K1411)+1,N(K1411))))</f>
        <v>0</v>
      </c>
    </row>
    <row r="1413" customFormat="false" ht="15" hidden="false" customHeight="false" outlineLevel="0" collapsed="false">
      <c r="K1413" s="24" t="n">
        <f aca="false">IF(Search!$B$3="",0,IF($A1413="",N(K1412),IF(ISNUMBER(SEARCH(Search!$B$3,$A1413&amp;"")),N(K1412)+1,N(K1412))))</f>
        <v>0</v>
      </c>
    </row>
    <row r="1414" customFormat="false" ht="15" hidden="false" customHeight="false" outlineLevel="0" collapsed="false">
      <c r="K1414" s="24" t="n">
        <f aca="false">IF(Search!$B$3="",0,IF($A1414="",N(K1413),IF(ISNUMBER(SEARCH(Search!$B$3,$A1414&amp;"")),N(K1413)+1,N(K1413))))</f>
        <v>0</v>
      </c>
    </row>
    <row r="1415" customFormat="false" ht="15" hidden="false" customHeight="false" outlineLevel="0" collapsed="false">
      <c r="K1415" s="24" t="n">
        <f aca="false">IF(Search!$B$3="",0,IF($A1415="",N(K1414),IF(ISNUMBER(SEARCH(Search!$B$3,$A1415&amp;"")),N(K1414)+1,N(K1414))))</f>
        <v>0</v>
      </c>
    </row>
    <row r="1416" customFormat="false" ht="15" hidden="false" customHeight="false" outlineLevel="0" collapsed="false">
      <c r="K1416" s="24" t="n">
        <f aca="false">IF(Search!$B$3="",0,IF($A1416="",N(K1415),IF(ISNUMBER(SEARCH(Search!$B$3,$A1416&amp;"")),N(K1415)+1,N(K1415))))</f>
        <v>0</v>
      </c>
    </row>
    <row r="1417" customFormat="false" ht="15" hidden="false" customHeight="false" outlineLevel="0" collapsed="false">
      <c r="K1417" s="24" t="n">
        <f aca="false">IF(Search!$B$3="",0,IF($A1417="",N(K1416),IF(ISNUMBER(SEARCH(Search!$B$3,$A1417&amp;"")),N(K1416)+1,N(K1416))))</f>
        <v>0</v>
      </c>
    </row>
    <row r="1418" customFormat="false" ht="15" hidden="false" customHeight="false" outlineLevel="0" collapsed="false">
      <c r="K1418" s="24" t="n">
        <f aca="false">IF(Search!$B$3="",0,IF($A1418="",N(K1417),IF(ISNUMBER(SEARCH(Search!$B$3,$A1418&amp;"")),N(K1417)+1,N(K1417))))</f>
        <v>0</v>
      </c>
    </row>
    <row r="1419" customFormat="false" ht="15" hidden="false" customHeight="false" outlineLevel="0" collapsed="false">
      <c r="K1419" s="24" t="n">
        <f aca="false">IF(Search!$B$3="",0,IF($A1419="",N(K1418),IF(ISNUMBER(SEARCH(Search!$B$3,$A1419&amp;"")),N(K1418)+1,N(K1418))))</f>
        <v>0</v>
      </c>
    </row>
    <row r="1420" customFormat="false" ht="15" hidden="false" customHeight="false" outlineLevel="0" collapsed="false">
      <c r="K1420" s="24" t="n">
        <f aca="false">IF(Search!$B$3="",0,IF($A1420="",N(K1419),IF(ISNUMBER(SEARCH(Search!$B$3,$A1420&amp;"")),N(K1419)+1,N(K1419))))</f>
        <v>0</v>
      </c>
    </row>
    <row r="1421" customFormat="false" ht="15" hidden="false" customHeight="false" outlineLevel="0" collapsed="false">
      <c r="K1421" s="24" t="n">
        <f aca="false">IF(Search!$B$3="",0,IF($A1421="",N(K1420),IF(ISNUMBER(SEARCH(Search!$B$3,$A1421&amp;"")),N(K1420)+1,N(K1420))))</f>
        <v>0</v>
      </c>
    </row>
    <row r="1422" customFormat="false" ht="15" hidden="false" customHeight="false" outlineLevel="0" collapsed="false">
      <c r="K1422" s="24" t="n">
        <f aca="false">IF(Search!$B$3="",0,IF($A1422="",N(K1421),IF(ISNUMBER(SEARCH(Search!$B$3,$A1422&amp;"")),N(K1421)+1,N(K1421))))</f>
        <v>0</v>
      </c>
    </row>
    <row r="1423" customFormat="false" ht="15" hidden="false" customHeight="false" outlineLevel="0" collapsed="false">
      <c r="K1423" s="24" t="n">
        <f aca="false">IF(Search!$B$3="",0,IF($A1423="",N(K1422),IF(ISNUMBER(SEARCH(Search!$B$3,$A1423&amp;"")),N(K1422)+1,N(K1422))))</f>
        <v>0</v>
      </c>
    </row>
    <row r="1424" customFormat="false" ht="15" hidden="false" customHeight="false" outlineLevel="0" collapsed="false">
      <c r="K1424" s="24" t="n">
        <f aca="false">IF(Search!$B$3="",0,IF($A1424="",N(K1423),IF(ISNUMBER(SEARCH(Search!$B$3,$A1424&amp;"")),N(K1423)+1,N(K1423))))</f>
        <v>0</v>
      </c>
    </row>
    <row r="1425" customFormat="false" ht="15" hidden="false" customHeight="false" outlineLevel="0" collapsed="false">
      <c r="K1425" s="24" t="n">
        <f aca="false">IF(Search!$B$3="",0,IF($A1425="",N(K1424),IF(ISNUMBER(SEARCH(Search!$B$3,$A1425&amp;"")),N(K1424)+1,N(K1424))))</f>
        <v>0</v>
      </c>
    </row>
    <row r="1426" customFormat="false" ht="15" hidden="false" customHeight="false" outlineLevel="0" collapsed="false">
      <c r="K1426" s="24" t="n">
        <f aca="false">IF(Search!$B$3="",0,IF($A1426="",N(K1425),IF(ISNUMBER(SEARCH(Search!$B$3,$A1426&amp;"")),N(K1425)+1,N(K1425))))</f>
        <v>0</v>
      </c>
    </row>
    <row r="1427" customFormat="false" ht="15" hidden="false" customHeight="false" outlineLevel="0" collapsed="false">
      <c r="K1427" s="24" t="n">
        <f aca="false">IF(Search!$B$3="",0,IF($A1427="",N(K1426),IF(ISNUMBER(SEARCH(Search!$B$3,$A1427&amp;"")),N(K1426)+1,N(K1426))))</f>
        <v>0</v>
      </c>
    </row>
    <row r="1428" customFormat="false" ht="15" hidden="false" customHeight="false" outlineLevel="0" collapsed="false">
      <c r="K1428" s="24" t="n">
        <f aca="false">IF(Search!$B$3="",0,IF($A1428="",N(K1427),IF(ISNUMBER(SEARCH(Search!$B$3,$A1428&amp;"")),N(K1427)+1,N(K1427))))</f>
        <v>0</v>
      </c>
    </row>
    <row r="1429" customFormat="false" ht="15" hidden="false" customHeight="false" outlineLevel="0" collapsed="false">
      <c r="K1429" s="24" t="n">
        <f aca="false">IF(Search!$B$3="",0,IF($A1429="",N(K1428),IF(ISNUMBER(SEARCH(Search!$B$3,$A1429&amp;"")),N(K1428)+1,N(K1428))))</f>
        <v>0</v>
      </c>
    </row>
    <row r="1430" customFormat="false" ht="15" hidden="false" customHeight="false" outlineLevel="0" collapsed="false">
      <c r="K1430" s="24" t="n">
        <f aca="false">IF(Search!$B$3="",0,IF($A1430="",N(K1429),IF(ISNUMBER(SEARCH(Search!$B$3,$A1430&amp;"")),N(K1429)+1,N(K1429))))</f>
        <v>0</v>
      </c>
    </row>
    <row r="1431" customFormat="false" ht="15" hidden="false" customHeight="false" outlineLevel="0" collapsed="false">
      <c r="K1431" s="24" t="n">
        <f aca="false">IF(Search!$B$3="",0,IF($A1431="",N(K1430),IF(ISNUMBER(SEARCH(Search!$B$3,$A1431&amp;"")),N(K1430)+1,N(K1430))))</f>
        <v>0</v>
      </c>
    </row>
    <row r="1432" customFormat="false" ht="15" hidden="false" customHeight="false" outlineLevel="0" collapsed="false">
      <c r="K1432" s="24" t="n">
        <f aca="false">IF(Search!$B$3="",0,IF($A1432="",N(K1431),IF(ISNUMBER(SEARCH(Search!$B$3,$A1432&amp;"")),N(K1431)+1,N(K1431))))</f>
        <v>0</v>
      </c>
    </row>
    <row r="1433" customFormat="false" ht="15" hidden="false" customHeight="false" outlineLevel="0" collapsed="false">
      <c r="K1433" s="24" t="n">
        <f aca="false">IF(Search!$B$3="",0,IF($A1433="",N(K1432),IF(ISNUMBER(SEARCH(Search!$B$3,$A1433&amp;"")),N(K1432)+1,N(K1432))))</f>
        <v>0</v>
      </c>
    </row>
    <row r="1434" customFormat="false" ht="15" hidden="false" customHeight="false" outlineLevel="0" collapsed="false">
      <c r="K1434" s="24" t="n">
        <f aca="false">IF(Search!$B$3="",0,IF($A1434="",N(K1433),IF(ISNUMBER(SEARCH(Search!$B$3,$A1434&amp;"")),N(K1433)+1,N(K1433))))</f>
        <v>0</v>
      </c>
    </row>
    <row r="1435" customFormat="false" ht="15" hidden="false" customHeight="false" outlineLevel="0" collapsed="false">
      <c r="K1435" s="24" t="n">
        <f aca="false">IF(Search!$B$3="",0,IF($A1435="",N(K1434),IF(ISNUMBER(SEARCH(Search!$B$3,$A1435&amp;"")),N(K1434)+1,N(K1434))))</f>
        <v>0</v>
      </c>
    </row>
    <row r="1436" customFormat="false" ht="15" hidden="false" customHeight="false" outlineLevel="0" collapsed="false">
      <c r="K1436" s="24" t="n">
        <f aca="false">IF(Search!$B$3="",0,IF($A1436="",N(K1435),IF(ISNUMBER(SEARCH(Search!$B$3,$A1436&amp;"")),N(K1435)+1,N(K1435))))</f>
        <v>0</v>
      </c>
    </row>
    <row r="1437" customFormat="false" ht="15" hidden="false" customHeight="false" outlineLevel="0" collapsed="false">
      <c r="K1437" s="24" t="n">
        <f aca="false">IF(Search!$B$3="",0,IF($A1437="",N(K1436),IF(ISNUMBER(SEARCH(Search!$B$3,$A1437&amp;"")),N(K1436)+1,N(K1436))))</f>
        <v>0</v>
      </c>
    </row>
    <row r="1438" customFormat="false" ht="15" hidden="false" customHeight="false" outlineLevel="0" collapsed="false">
      <c r="K1438" s="24" t="n">
        <f aca="false">IF(Search!$B$3="",0,IF($A1438="",N(K1437),IF(ISNUMBER(SEARCH(Search!$B$3,$A1438&amp;"")),N(K1437)+1,N(K1437))))</f>
        <v>0</v>
      </c>
    </row>
    <row r="1439" customFormat="false" ht="15" hidden="false" customHeight="false" outlineLevel="0" collapsed="false">
      <c r="K1439" s="24" t="n">
        <f aca="false">IF(Search!$B$3="",0,IF($A1439="",N(K1438),IF(ISNUMBER(SEARCH(Search!$B$3,$A1439&amp;"")),N(K1438)+1,N(K1438))))</f>
        <v>0</v>
      </c>
    </row>
    <row r="1440" customFormat="false" ht="15" hidden="false" customHeight="false" outlineLevel="0" collapsed="false">
      <c r="K1440" s="24" t="n">
        <f aca="false">IF(Search!$B$3="",0,IF($A1440="",N(K1439),IF(ISNUMBER(SEARCH(Search!$B$3,$A1440&amp;"")),N(K1439)+1,N(K1439))))</f>
        <v>0</v>
      </c>
    </row>
    <row r="1441" customFormat="false" ht="15" hidden="false" customHeight="false" outlineLevel="0" collapsed="false">
      <c r="K1441" s="24" t="n">
        <f aca="false">IF(Search!$B$3="",0,IF($A1441="",N(K1440),IF(ISNUMBER(SEARCH(Search!$B$3,$A1441&amp;"")),N(K1440)+1,N(K1440))))</f>
        <v>0</v>
      </c>
    </row>
    <row r="1442" customFormat="false" ht="15" hidden="false" customHeight="false" outlineLevel="0" collapsed="false">
      <c r="K1442" s="24" t="n">
        <f aca="false">IF(Search!$B$3="",0,IF($A1442="",N(K1441),IF(ISNUMBER(SEARCH(Search!$B$3,$A1442&amp;"")),N(K1441)+1,N(K1441))))</f>
        <v>0</v>
      </c>
    </row>
    <row r="1443" customFormat="false" ht="15" hidden="false" customHeight="false" outlineLevel="0" collapsed="false">
      <c r="K1443" s="24" t="n">
        <f aca="false">IF(Search!$B$3="",0,IF($A1443="",N(K1442),IF(ISNUMBER(SEARCH(Search!$B$3,$A1443&amp;"")),N(K1442)+1,N(K1442))))</f>
        <v>0</v>
      </c>
    </row>
    <row r="1444" customFormat="false" ht="15" hidden="false" customHeight="false" outlineLevel="0" collapsed="false">
      <c r="K1444" s="24" t="n">
        <f aca="false">IF(Search!$B$3="",0,IF($A1444="",N(K1443),IF(ISNUMBER(SEARCH(Search!$B$3,$A1444&amp;"")),N(K1443)+1,N(K1443))))</f>
        <v>0</v>
      </c>
    </row>
    <row r="1445" customFormat="false" ht="15" hidden="false" customHeight="false" outlineLevel="0" collapsed="false">
      <c r="K1445" s="24" t="n">
        <f aca="false">IF(Search!$B$3="",0,IF($A1445="",N(K1444),IF(ISNUMBER(SEARCH(Search!$B$3,$A1445&amp;"")),N(K1444)+1,N(K1444))))</f>
        <v>0</v>
      </c>
    </row>
    <row r="1446" customFormat="false" ht="15" hidden="false" customHeight="false" outlineLevel="0" collapsed="false">
      <c r="K1446" s="24" t="n">
        <f aca="false">IF(Search!$B$3="",0,IF($A1446="",N(K1445),IF(ISNUMBER(SEARCH(Search!$B$3,$A1446&amp;"")),N(K1445)+1,N(K1445))))</f>
        <v>0</v>
      </c>
    </row>
    <row r="1447" customFormat="false" ht="15" hidden="false" customHeight="false" outlineLevel="0" collapsed="false">
      <c r="K1447" s="24" t="n">
        <f aca="false">IF(Search!$B$3="",0,IF($A1447="",N(K1446),IF(ISNUMBER(SEARCH(Search!$B$3,$A1447&amp;"")),N(K1446)+1,N(K1446))))</f>
        <v>0</v>
      </c>
    </row>
    <row r="1448" customFormat="false" ht="15" hidden="false" customHeight="false" outlineLevel="0" collapsed="false">
      <c r="K1448" s="24" t="n">
        <f aca="false">IF(Search!$B$3="",0,IF($A1448="",N(K1447),IF(ISNUMBER(SEARCH(Search!$B$3,$A1448&amp;"")),N(K1447)+1,N(K1447))))</f>
        <v>0</v>
      </c>
    </row>
    <row r="1449" customFormat="false" ht="15" hidden="false" customHeight="false" outlineLevel="0" collapsed="false">
      <c r="K1449" s="24" t="n">
        <f aca="false">IF(Search!$B$3="",0,IF($A1449="",N(K1448),IF(ISNUMBER(SEARCH(Search!$B$3,$A1449&amp;"")),N(K1448)+1,N(K1448))))</f>
        <v>0</v>
      </c>
    </row>
    <row r="1450" customFormat="false" ht="15" hidden="false" customHeight="false" outlineLevel="0" collapsed="false">
      <c r="K1450" s="24" t="n">
        <f aca="false">IF(Search!$B$3="",0,IF($A1450="",N(K1449),IF(ISNUMBER(SEARCH(Search!$B$3,$A1450&amp;"")),N(K1449)+1,N(K1449))))</f>
        <v>0</v>
      </c>
    </row>
    <row r="1451" customFormat="false" ht="15" hidden="false" customHeight="false" outlineLevel="0" collapsed="false">
      <c r="K1451" s="24" t="n">
        <f aca="false">IF(Search!$B$3="",0,IF($A1451="",N(K1450),IF(ISNUMBER(SEARCH(Search!$B$3,$A1451&amp;"")),N(K1450)+1,N(K1450))))</f>
        <v>0</v>
      </c>
    </row>
    <row r="1452" customFormat="false" ht="15" hidden="false" customHeight="false" outlineLevel="0" collapsed="false">
      <c r="K1452" s="24" t="n">
        <f aca="false">IF(Search!$B$3="",0,IF($A1452="",N(K1451),IF(ISNUMBER(SEARCH(Search!$B$3,$A1452&amp;"")),N(K1451)+1,N(K1451))))</f>
        <v>0</v>
      </c>
    </row>
    <row r="1453" customFormat="false" ht="15" hidden="false" customHeight="false" outlineLevel="0" collapsed="false">
      <c r="K1453" s="24" t="n">
        <f aca="false">IF(Search!$B$3="",0,IF($A1453="",N(K1452),IF(ISNUMBER(SEARCH(Search!$B$3,$A1453&amp;"")),N(K1452)+1,N(K1452))))</f>
        <v>0</v>
      </c>
    </row>
    <row r="1454" customFormat="false" ht="15" hidden="false" customHeight="false" outlineLevel="0" collapsed="false">
      <c r="K1454" s="24" t="n">
        <f aca="false">IF(Search!$B$3="",0,IF($A1454="",N(K1453),IF(ISNUMBER(SEARCH(Search!$B$3,$A1454&amp;"")),N(K1453)+1,N(K1453))))</f>
        <v>0</v>
      </c>
    </row>
    <row r="1455" customFormat="false" ht="15" hidden="false" customHeight="false" outlineLevel="0" collapsed="false">
      <c r="K1455" s="24" t="n">
        <f aca="false">IF(Search!$B$3="",0,IF($A1455="",N(K1454),IF(ISNUMBER(SEARCH(Search!$B$3,$A1455&amp;"")),N(K1454)+1,N(K1454))))</f>
        <v>0</v>
      </c>
    </row>
    <row r="1456" customFormat="false" ht="15" hidden="false" customHeight="false" outlineLevel="0" collapsed="false">
      <c r="K1456" s="24" t="n">
        <f aca="false">IF(Search!$B$3="",0,IF($A1456="",N(K1455),IF(ISNUMBER(SEARCH(Search!$B$3,$A1456&amp;"")),N(K1455)+1,N(K1455))))</f>
        <v>0</v>
      </c>
    </row>
    <row r="1457" customFormat="false" ht="15" hidden="false" customHeight="false" outlineLevel="0" collapsed="false">
      <c r="K1457" s="24" t="n">
        <f aca="false">IF(Search!$B$3="",0,IF($A1457="",N(K1456),IF(ISNUMBER(SEARCH(Search!$B$3,$A1457&amp;"")),N(K1456)+1,N(K1456))))</f>
        <v>0</v>
      </c>
    </row>
    <row r="1458" customFormat="false" ht="15" hidden="false" customHeight="false" outlineLevel="0" collapsed="false">
      <c r="K1458" s="24" t="n">
        <f aca="false">IF(Search!$B$3="",0,IF($A1458="",N(K1457),IF(ISNUMBER(SEARCH(Search!$B$3,$A1458&amp;"")),N(K1457)+1,N(K1457))))</f>
        <v>0</v>
      </c>
    </row>
    <row r="1459" customFormat="false" ht="15" hidden="false" customHeight="false" outlineLevel="0" collapsed="false">
      <c r="K1459" s="24" t="n">
        <f aca="false">IF(Search!$B$3="",0,IF($A1459="",N(K1458),IF(ISNUMBER(SEARCH(Search!$B$3,$A1459&amp;"")),N(K1458)+1,N(K1458))))</f>
        <v>0</v>
      </c>
    </row>
    <row r="1460" customFormat="false" ht="15" hidden="false" customHeight="false" outlineLevel="0" collapsed="false">
      <c r="K1460" s="24" t="n">
        <f aca="false">IF(Search!$B$3="",0,IF($A1460="",N(K1459),IF(ISNUMBER(SEARCH(Search!$B$3,$A1460&amp;"")),N(K1459)+1,N(K1459))))</f>
        <v>0</v>
      </c>
    </row>
    <row r="1461" customFormat="false" ht="15" hidden="false" customHeight="false" outlineLevel="0" collapsed="false">
      <c r="K1461" s="24" t="n">
        <f aca="false">IF(Search!$B$3="",0,IF($A1461="",N(K1460),IF(ISNUMBER(SEARCH(Search!$B$3,$A1461&amp;"")),N(K1460)+1,N(K1460))))</f>
        <v>0</v>
      </c>
    </row>
    <row r="1462" customFormat="false" ht="15" hidden="false" customHeight="false" outlineLevel="0" collapsed="false">
      <c r="K1462" s="24" t="n">
        <f aca="false">IF(Search!$B$3="",0,IF($A1462="",N(K1461),IF(ISNUMBER(SEARCH(Search!$B$3,$A1462&amp;"")),N(K1461)+1,N(K1461))))</f>
        <v>0</v>
      </c>
    </row>
    <row r="1463" customFormat="false" ht="15" hidden="false" customHeight="false" outlineLevel="0" collapsed="false">
      <c r="K1463" s="24" t="n">
        <f aca="false">IF(Search!$B$3="",0,IF($A1463="",N(K1462),IF(ISNUMBER(SEARCH(Search!$B$3,$A1463&amp;"")),N(K1462)+1,N(K1462))))</f>
        <v>0</v>
      </c>
    </row>
    <row r="1464" customFormat="false" ht="15" hidden="false" customHeight="false" outlineLevel="0" collapsed="false">
      <c r="K1464" s="24" t="n">
        <f aca="false">IF(Search!$B$3="",0,IF($A1464="",N(K1463),IF(ISNUMBER(SEARCH(Search!$B$3,$A1464&amp;"")),N(K1463)+1,N(K1463))))</f>
        <v>0</v>
      </c>
    </row>
    <row r="1465" customFormat="false" ht="15" hidden="false" customHeight="false" outlineLevel="0" collapsed="false">
      <c r="K1465" s="24" t="n">
        <f aca="false">IF(Search!$B$3="",0,IF($A1465="",N(K1464),IF(ISNUMBER(SEARCH(Search!$B$3,$A1465&amp;"")),N(K1464)+1,N(K1464))))</f>
        <v>0</v>
      </c>
    </row>
    <row r="1466" customFormat="false" ht="15" hidden="false" customHeight="false" outlineLevel="0" collapsed="false">
      <c r="K1466" s="24" t="n">
        <f aca="false">IF(Search!$B$3="",0,IF($A1466="",N(K1465),IF(ISNUMBER(SEARCH(Search!$B$3,$A1466&amp;"")),N(K1465)+1,N(K1465))))</f>
        <v>0</v>
      </c>
    </row>
    <row r="1467" customFormat="false" ht="15" hidden="false" customHeight="false" outlineLevel="0" collapsed="false">
      <c r="K1467" s="24" t="n">
        <f aca="false">IF(Search!$B$3="",0,IF($A1467="",N(K1466),IF(ISNUMBER(SEARCH(Search!$B$3,$A1467&amp;"")),N(K1466)+1,N(K1466))))</f>
        <v>0</v>
      </c>
    </row>
    <row r="1468" customFormat="false" ht="15" hidden="false" customHeight="false" outlineLevel="0" collapsed="false">
      <c r="K1468" s="24" t="n">
        <f aca="false">IF(Search!$B$3="",0,IF($A1468="",N(K1467),IF(ISNUMBER(SEARCH(Search!$B$3,$A1468&amp;"")),N(K1467)+1,N(K1467))))</f>
        <v>0</v>
      </c>
    </row>
    <row r="1469" customFormat="false" ht="15" hidden="false" customHeight="false" outlineLevel="0" collapsed="false">
      <c r="K1469" s="24" t="n">
        <f aca="false">IF(Search!$B$3="",0,IF($A1469="",N(K1468),IF(ISNUMBER(SEARCH(Search!$B$3,$A1469&amp;"")),N(K1468)+1,N(K1468))))</f>
        <v>0</v>
      </c>
    </row>
    <row r="1470" customFormat="false" ht="15" hidden="false" customHeight="false" outlineLevel="0" collapsed="false">
      <c r="K1470" s="24" t="n">
        <f aca="false">IF(Search!$B$3="",0,IF($A1470="",N(K1469),IF(ISNUMBER(SEARCH(Search!$B$3,$A1470&amp;"")),N(K1469)+1,N(K1469))))</f>
        <v>0</v>
      </c>
    </row>
    <row r="1471" customFormat="false" ht="15" hidden="false" customHeight="false" outlineLevel="0" collapsed="false">
      <c r="K1471" s="24" t="n">
        <f aca="false">IF(Search!$B$3="",0,IF($A1471="",N(K1470),IF(ISNUMBER(SEARCH(Search!$B$3,$A1471&amp;"")),N(K1470)+1,N(K1470))))</f>
        <v>0</v>
      </c>
    </row>
    <row r="1472" customFormat="false" ht="15" hidden="false" customHeight="false" outlineLevel="0" collapsed="false">
      <c r="K1472" s="24" t="n">
        <f aca="false">IF(Search!$B$3="",0,IF($A1472="",N(K1471),IF(ISNUMBER(SEARCH(Search!$B$3,$A1472&amp;"")),N(K1471)+1,N(K1471))))</f>
        <v>0</v>
      </c>
    </row>
    <row r="1473" customFormat="false" ht="15" hidden="false" customHeight="false" outlineLevel="0" collapsed="false">
      <c r="K1473" s="24" t="n">
        <f aca="false">IF(Search!$B$3="",0,IF($A1473="",N(K1472),IF(ISNUMBER(SEARCH(Search!$B$3,$A1473&amp;"")),N(K1472)+1,N(K1472))))</f>
        <v>0</v>
      </c>
    </row>
    <row r="1474" customFormat="false" ht="15" hidden="false" customHeight="false" outlineLevel="0" collapsed="false">
      <c r="K1474" s="24" t="n">
        <f aca="false">IF(Search!$B$3="",0,IF($A1474="",N(K1473),IF(ISNUMBER(SEARCH(Search!$B$3,$A1474&amp;"")),N(K1473)+1,N(K1473))))</f>
        <v>0</v>
      </c>
    </row>
    <row r="1475" customFormat="false" ht="15" hidden="false" customHeight="false" outlineLevel="0" collapsed="false">
      <c r="K1475" s="24" t="n">
        <f aca="false">IF(Search!$B$3="",0,IF($A1475="",N(K1474),IF(ISNUMBER(SEARCH(Search!$B$3,$A1475&amp;"")),N(K1474)+1,N(K1474))))</f>
        <v>0</v>
      </c>
    </row>
    <row r="1476" customFormat="false" ht="15" hidden="false" customHeight="false" outlineLevel="0" collapsed="false">
      <c r="K1476" s="24" t="n">
        <f aca="false">IF(Search!$B$3="",0,IF($A1476="",N(K1475),IF(ISNUMBER(SEARCH(Search!$B$3,$A1476&amp;"")),N(K1475)+1,N(K1475))))</f>
        <v>0</v>
      </c>
    </row>
    <row r="1477" customFormat="false" ht="15" hidden="false" customHeight="false" outlineLevel="0" collapsed="false">
      <c r="K1477" s="24" t="n">
        <f aca="false">IF(Search!$B$3="",0,IF($A1477="",N(K1476),IF(ISNUMBER(SEARCH(Search!$B$3,$A1477&amp;"")),N(K1476)+1,N(K1476))))</f>
        <v>0</v>
      </c>
    </row>
    <row r="1478" customFormat="false" ht="15" hidden="false" customHeight="false" outlineLevel="0" collapsed="false">
      <c r="K1478" s="24" t="n">
        <f aca="false">IF(Search!$B$3="",0,IF($A1478="",N(K1477),IF(ISNUMBER(SEARCH(Search!$B$3,$A1478&amp;"")),N(K1477)+1,N(K1477))))</f>
        <v>0</v>
      </c>
    </row>
    <row r="1479" customFormat="false" ht="15" hidden="false" customHeight="false" outlineLevel="0" collapsed="false">
      <c r="K1479" s="24" t="n">
        <f aca="false">IF(Search!$B$3="",0,IF($A1479="",N(K1478),IF(ISNUMBER(SEARCH(Search!$B$3,$A1479&amp;"")),N(K1478)+1,N(K1478))))</f>
        <v>0</v>
      </c>
    </row>
    <row r="1480" customFormat="false" ht="15" hidden="false" customHeight="false" outlineLevel="0" collapsed="false">
      <c r="K1480" s="24" t="n">
        <f aca="false">IF(Search!$B$3="",0,IF($A1480="",N(K1479),IF(ISNUMBER(SEARCH(Search!$B$3,$A1480&amp;"")),N(K1479)+1,N(K1479))))</f>
        <v>0</v>
      </c>
    </row>
    <row r="1481" customFormat="false" ht="15" hidden="false" customHeight="false" outlineLevel="0" collapsed="false">
      <c r="K1481" s="24" t="n">
        <f aca="false">IF(Search!$B$3="",0,IF($A1481="",N(K1480),IF(ISNUMBER(SEARCH(Search!$B$3,$A1481&amp;"")),N(K1480)+1,N(K1480))))</f>
        <v>0</v>
      </c>
    </row>
    <row r="1482" customFormat="false" ht="15" hidden="false" customHeight="false" outlineLevel="0" collapsed="false">
      <c r="K1482" s="24" t="n">
        <f aca="false">IF(Search!$B$3="",0,IF($A1482="",N(K1481),IF(ISNUMBER(SEARCH(Search!$B$3,$A1482&amp;"")),N(K1481)+1,N(K1481))))</f>
        <v>0</v>
      </c>
    </row>
    <row r="1483" customFormat="false" ht="15" hidden="false" customHeight="false" outlineLevel="0" collapsed="false">
      <c r="K1483" s="24" t="n">
        <f aca="false">IF(Search!$B$3="",0,IF($A1483="",N(K1482),IF(ISNUMBER(SEARCH(Search!$B$3,$A1483&amp;"")),N(K1482)+1,N(K1482))))</f>
        <v>0</v>
      </c>
    </row>
    <row r="1484" customFormat="false" ht="15" hidden="false" customHeight="false" outlineLevel="0" collapsed="false">
      <c r="K1484" s="24" t="n">
        <f aca="false">IF(Search!$B$3="",0,IF($A1484="",N(K1483),IF(ISNUMBER(SEARCH(Search!$B$3,$A1484&amp;"")),N(K1483)+1,N(K1483))))</f>
        <v>0</v>
      </c>
    </row>
    <row r="1485" customFormat="false" ht="15" hidden="false" customHeight="false" outlineLevel="0" collapsed="false">
      <c r="K1485" s="24" t="n">
        <f aca="false">IF(Search!$B$3="",0,IF($A1485="",N(K1484),IF(ISNUMBER(SEARCH(Search!$B$3,$A1485&amp;"")),N(K1484)+1,N(K1484))))</f>
        <v>0</v>
      </c>
    </row>
    <row r="1486" customFormat="false" ht="15" hidden="false" customHeight="false" outlineLevel="0" collapsed="false">
      <c r="K1486" s="24" t="n">
        <f aca="false">IF(Search!$B$3="",0,IF($A1486="",N(K1485),IF(ISNUMBER(SEARCH(Search!$B$3,$A1486&amp;"")),N(K1485)+1,N(K1485))))</f>
        <v>0</v>
      </c>
    </row>
    <row r="1487" customFormat="false" ht="15" hidden="false" customHeight="false" outlineLevel="0" collapsed="false">
      <c r="K1487" s="24" t="n">
        <f aca="false">IF(Search!$B$3="",0,IF($A1487="",N(K1486),IF(ISNUMBER(SEARCH(Search!$B$3,$A1487&amp;"")),N(K1486)+1,N(K1486))))</f>
        <v>0</v>
      </c>
    </row>
    <row r="1488" customFormat="false" ht="15" hidden="false" customHeight="false" outlineLevel="0" collapsed="false">
      <c r="K1488" s="24" t="n">
        <f aca="false">IF(Search!$B$3="",0,IF($A1488="",N(K1487),IF(ISNUMBER(SEARCH(Search!$B$3,$A1488&amp;"")),N(K1487)+1,N(K1487))))</f>
        <v>0</v>
      </c>
    </row>
    <row r="1489" customFormat="false" ht="15" hidden="false" customHeight="false" outlineLevel="0" collapsed="false">
      <c r="K1489" s="24" t="n">
        <f aca="false">IF(Search!$B$3="",0,IF($A1489="",N(K1488),IF(ISNUMBER(SEARCH(Search!$B$3,$A1489&amp;"")),N(K1488)+1,N(K1488))))</f>
        <v>0</v>
      </c>
    </row>
    <row r="1490" customFormat="false" ht="15" hidden="false" customHeight="false" outlineLevel="0" collapsed="false">
      <c r="K1490" s="24" t="n">
        <f aca="false">IF(Search!$B$3="",0,IF($A1490="",N(K1489),IF(ISNUMBER(SEARCH(Search!$B$3,$A1490&amp;"")),N(K1489)+1,N(K1489))))</f>
        <v>0</v>
      </c>
    </row>
    <row r="1491" customFormat="false" ht="15" hidden="false" customHeight="false" outlineLevel="0" collapsed="false">
      <c r="K1491" s="24" t="n">
        <f aca="false">IF(Search!$B$3="",0,IF($A1491="",N(K1490),IF(ISNUMBER(SEARCH(Search!$B$3,$A1491&amp;"")),N(K1490)+1,N(K1490))))</f>
        <v>0</v>
      </c>
    </row>
    <row r="1492" customFormat="false" ht="15" hidden="false" customHeight="false" outlineLevel="0" collapsed="false">
      <c r="K1492" s="24" t="n">
        <f aca="false">IF(Search!$B$3="",0,IF($A1492="",N(K1491),IF(ISNUMBER(SEARCH(Search!$B$3,$A1492&amp;"")),N(K1491)+1,N(K1491))))</f>
        <v>0</v>
      </c>
    </row>
    <row r="1493" customFormat="false" ht="15" hidden="false" customHeight="false" outlineLevel="0" collapsed="false">
      <c r="K1493" s="24" t="n">
        <f aca="false">IF(Search!$B$3="",0,IF($A1493="",N(K1492),IF(ISNUMBER(SEARCH(Search!$B$3,$A1493&amp;"")),N(K1492)+1,N(K1492))))</f>
        <v>0</v>
      </c>
    </row>
    <row r="1494" customFormat="false" ht="15" hidden="false" customHeight="false" outlineLevel="0" collapsed="false">
      <c r="K1494" s="24" t="n">
        <f aca="false">IF(Search!$B$3="",0,IF($A1494="",N(K1493),IF(ISNUMBER(SEARCH(Search!$B$3,$A1494&amp;"")),N(K1493)+1,N(K1493))))</f>
        <v>0</v>
      </c>
    </row>
    <row r="1495" customFormat="false" ht="15" hidden="false" customHeight="false" outlineLevel="0" collapsed="false">
      <c r="K1495" s="24" t="n">
        <f aca="false">IF(Search!$B$3="",0,IF($A1495="",N(K1494),IF(ISNUMBER(SEARCH(Search!$B$3,$A1495&amp;"")),N(K1494)+1,N(K1494))))</f>
        <v>0</v>
      </c>
    </row>
    <row r="1496" customFormat="false" ht="15" hidden="false" customHeight="false" outlineLevel="0" collapsed="false">
      <c r="K1496" s="24" t="n">
        <f aca="false">IF(Search!$B$3="",0,IF($A1496="",N(K1495),IF(ISNUMBER(SEARCH(Search!$B$3,$A1496&amp;"")),N(K1495)+1,N(K1495))))</f>
        <v>0</v>
      </c>
    </row>
    <row r="1497" customFormat="false" ht="15" hidden="false" customHeight="false" outlineLevel="0" collapsed="false">
      <c r="K1497" s="24" t="n">
        <f aca="false">IF(Search!$B$3="",0,IF($A1497="",N(K1496),IF(ISNUMBER(SEARCH(Search!$B$3,$A1497&amp;"")),N(K1496)+1,N(K1496))))</f>
        <v>0</v>
      </c>
    </row>
    <row r="1498" customFormat="false" ht="15" hidden="false" customHeight="false" outlineLevel="0" collapsed="false">
      <c r="K1498" s="24" t="n">
        <f aca="false">IF(Search!$B$3="",0,IF($A1498="",N(K1497),IF(ISNUMBER(SEARCH(Search!$B$3,$A1498&amp;"")),N(K1497)+1,N(K1497))))</f>
        <v>0</v>
      </c>
    </row>
    <row r="1499" customFormat="false" ht="15" hidden="false" customHeight="false" outlineLevel="0" collapsed="false">
      <c r="K1499" s="24" t="n">
        <f aca="false">IF(Search!$B$3="",0,IF($A1499="",N(K1498),IF(ISNUMBER(SEARCH(Search!$B$3,$A1499&amp;"")),N(K1498)+1,N(K1498))))</f>
        <v>0</v>
      </c>
    </row>
    <row r="1500" customFormat="false" ht="15" hidden="false" customHeight="false" outlineLevel="0" collapsed="false">
      <c r="K1500" s="24" t="n">
        <f aca="false">IF(Search!$B$3="",0,IF($A1500="",N(K1499),IF(ISNUMBER(SEARCH(Search!$B$3,$A1500&amp;"")),N(K1499)+1,N(K1499))))</f>
        <v>0</v>
      </c>
    </row>
    <row r="1501" customFormat="false" ht="15" hidden="false" customHeight="false" outlineLevel="0" collapsed="false">
      <c r="K1501" s="24" t="n">
        <f aca="false">IF(Search!$B$3="",0,IF($A1501="",N(K1500),IF(ISNUMBER(SEARCH(Search!$B$3,$A1501&amp;"")),N(K1500)+1,N(K1500))))</f>
        <v>0</v>
      </c>
    </row>
    <row r="1502" customFormat="false" ht="15" hidden="false" customHeight="false" outlineLevel="0" collapsed="false">
      <c r="K1502" s="24" t="n">
        <f aca="false">IF(Search!$B$3="",0,IF($A1502="",N(K1501),IF(ISNUMBER(SEARCH(Search!$B$3,$A1502&amp;"")),N(K1501)+1,N(K1501))))</f>
        <v>0</v>
      </c>
    </row>
    <row r="1503" customFormat="false" ht="15" hidden="false" customHeight="false" outlineLevel="0" collapsed="false">
      <c r="K1503" s="24" t="n">
        <f aca="false">IF(Search!$B$3="",0,IF($A1503="",N(K1502),IF(ISNUMBER(SEARCH(Search!$B$3,$A1503&amp;"")),N(K1502)+1,N(K1502))))</f>
        <v>0</v>
      </c>
    </row>
    <row r="1504" customFormat="false" ht="15" hidden="false" customHeight="false" outlineLevel="0" collapsed="false">
      <c r="K1504" s="24" t="n">
        <f aca="false">IF(Search!$B$3="",0,IF($A1504="",N(K1503),IF(ISNUMBER(SEARCH(Search!$B$3,$A1504&amp;"")),N(K1503)+1,N(K1503))))</f>
        <v>0</v>
      </c>
    </row>
    <row r="1505" customFormat="false" ht="15" hidden="false" customHeight="false" outlineLevel="0" collapsed="false">
      <c r="K1505" s="24" t="n">
        <f aca="false">IF(Search!$B$3="",0,IF($A1505="",N(K1504),IF(ISNUMBER(SEARCH(Search!$B$3,$A1505&amp;"")),N(K1504)+1,N(K1504))))</f>
        <v>0</v>
      </c>
    </row>
    <row r="1506" customFormat="false" ht="15" hidden="false" customHeight="false" outlineLevel="0" collapsed="false">
      <c r="K1506" s="24" t="n">
        <f aca="false">IF(Search!$B$3="",0,IF($A1506="",N(K1505),IF(ISNUMBER(SEARCH(Search!$B$3,$A1506&amp;"")),N(K1505)+1,N(K1505))))</f>
        <v>0</v>
      </c>
    </row>
    <row r="1507" customFormat="false" ht="15" hidden="false" customHeight="false" outlineLevel="0" collapsed="false">
      <c r="K1507" s="24" t="n">
        <f aca="false">IF(Search!$B$3="",0,IF($A1507="",N(K1506),IF(ISNUMBER(SEARCH(Search!$B$3,$A1507&amp;"")),N(K1506)+1,N(K1506))))</f>
        <v>0</v>
      </c>
    </row>
    <row r="1508" customFormat="false" ht="15" hidden="false" customHeight="false" outlineLevel="0" collapsed="false">
      <c r="K1508" s="24" t="n">
        <f aca="false">IF(Search!$B$3="",0,IF($A1508="",N(K1507),IF(ISNUMBER(SEARCH(Search!$B$3,$A1508&amp;"")),N(K1507)+1,N(K1507))))</f>
        <v>0</v>
      </c>
    </row>
    <row r="1509" customFormat="false" ht="15" hidden="false" customHeight="false" outlineLevel="0" collapsed="false">
      <c r="K1509" s="24" t="n">
        <f aca="false">IF(Search!$B$3="",0,IF($A1509="",N(K1508),IF(ISNUMBER(SEARCH(Search!$B$3,$A1509&amp;"")),N(K1508)+1,N(K1508))))</f>
        <v>0</v>
      </c>
    </row>
    <row r="1510" customFormat="false" ht="15" hidden="false" customHeight="false" outlineLevel="0" collapsed="false">
      <c r="K1510" s="24" t="n">
        <f aca="false">IF(Search!$B$3="",0,IF($A1510="",N(K1509),IF(ISNUMBER(SEARCH(Search!$B$3,$A1510&amp;"")),N(K1509)+1,N(K1509))))</f>
        <v>0</v>
      </c>
    </row>
    <row r="1511" customFormat="false" ht="15" hidden="false" customHeight="false" outlineLevel="0" collapsed="false">
      <c r="K1511" s="24" t="n">
        <f aca="false">IF(Search!$B$3="",0,IF($A1511="",N(K1510),IF(ISNUMBER(SEARCH(Search!$B$3,$A1511&amp;"")),N(K1510)+1,N(K1510))))</f>
        <v>0</v>
      </c>
    </row>
    <row r="1512" customFormat="false" ht="15" hidden="false" customHeight="false" outlineLevel="0" collapsed="false">
      <c r="K1512" s="24" t="n">
        <f aca="false">IF(Search!$B$3="",0,IF($A1512="",N(K1511),IF(ISNUMBER(SEARCH(Search!$B$3,$A1512&amp;"")),N(K1511)+1,N(K1511))))</f>
        <v>0</v>
      </c>
    </row>
    <row r="1513" customFormat="false" ht="15" hidden="false" customHeight="false" outlineLevel="0" collapsed="false">
      <c r="K1513" s="24" t="n">
        <f aca="false">IF(Search!$B$3="",0,IF($A1513="",N(K1512),IF(ISNUMBER(SEARCH(Search!$B$3,$A1513&amp;"")),N(K1512)+1,N(K1512))))</f>
        <v>0</v>
      </c>
    </row>
    <row r="1514" customFormat="false" ht="15" hidden="false" customHeight="false" outlineLevel="0" collapsed="false">
      <c r="K1514" s="24" t="n">
        <f aca="false">IF(Search!$B$3="",0,IF($A1514="",N(K1513),IF(ISNUMBER(SEARCH(Search!$B$3,$A1514&amp;"")),N(K1513)+1,N(K1513))))</f>
        <v>0</v>
      </c>
    </row>
    <row r="1515" customFormat="false" ht="15" hidden="false" customHeight="false" outlineLevel="0" collapsed="false">
      <c r="K1515" s="24" t="n">
        <f aca="false">IF(Search!$B$3="",0,IF($A1515="",N(K1514),IF(ISNUMBER(SEARCH(Search!$B$3,$A1515&amp;"")),N(K1514)+1,N(K1514))))</f>
        <v>0</v>
      </c>
    </row>
    <row r="1516" customFormat="false" ht="15" hidden="false" customHeight="false" outlineLevel="0" collapsed="false">
      <c r="K1516" s="24" t="n">
        <f aca="false">IF(Search!$B$3="",0,IF($A1516="",N(K1515),IF(ISNUMBER(SEARCH(Search!$B$3,$A1516&amp;"")),N(K1515)+1,N(K1515))))</f>
        <v>0</v>
      </c>
    </row>
    <row r="1517" customFormat="false" ht="15" hidden="false" customHeight="false" outlineLevel="0" collapsed="false">
      <c r="K1517" s="24" t="n">
        <f aca="false">IF(Search!$B$3="",0,IF($A1517="",N(K1516),IF(ISNUMBER(SEARCH(Search!$B$3,$A1517&amp;"")),N(K1516)+1,N(K1516))))</f>
        <v>0</v>
      </c>
    </row>
    <row r="1518" customFormat="false" ht="15" hidden="false" customHeight="false" outlineLevel="0" collapsed="false">
      <c r="K1518" s="24" t="n">
        <f aca="false">IF(Search!$B$3="",0,IF($A1518="",N(K1517),IF(ISNUMBER(SEARCH(Search!$B$3,$A1518&amp;"")),N(K1517)+1,N(K1517))))</f>
        <v>0</v>
      </c>
    </row>
    <row r="1519" customFormat="false" ht="15" hidden="false" customHeight="false" outlineLevel="0" collapsed="false">
      <c r="K1519" s="24" t="n">
        <f aca="false">IF(Search!$B$3="",0,IF($A1519="",N(K1518),IF(ISNUMBER(SEARCH(Search!$B$3,$A1519&amp;"")),N(K1518)+1,N(K1518))))</f>
        <v>0</v>
      </c>
    </row>
    <row r="1520" customFormat="false" ht="15" hidden="false" customHeight="false" outlineLevel="0" collapsed="false">
      <c r="K1520" s="24" t="n">
        <f aca="false">IF(Search!$B$3="",0,IF($A1520="",N(K1519),IF(ISNUMBER(SEARCH(Search!$B$3,$A1520&amp;"")),N(K1519)+1,N(K1519))))</f>
        <v>0</v>
      </c>
    </row>
    <row r="1521" customFormat="false" ht="15" hidden="false" customHeight="false" outlineLevel="0" collapsed="false">
      <c r="K1521" s="24" t="n">
        <f aca="false">IF(Search!$B$3="",0,IF($A1521="",N(K1520),IF(ISNUMBER(SEARCH(Search!$B$3,$A1521&amp;"")),N(K1520)+1,N(K1520))))</f>
        <v>0</v>
      </c>
    </row>
    <row r="1522" customFormat="false" ht="15" hidden="false" customHeight="false" outlineLevel="0" collapsed="false">
      <c r="K1522" s="24" t="n">
        <f aca="false">IF(Search!$B$3="",0,IF($A1522="",N(K1521),IF(ISNUMBER(SEARCH(Search!$B$3,$A1522&amp;"")),N(K1521)+1,N(K1521))))</f>
        <v>0</v>
      </c>
    </row>
    <row r="1523" customFormat="false" ht="15" hidden="false" customHeight="false" outlineLevel="0" collapsed="false">
      <c r="K1523" s="24" t="n">
        <f aca="false">IF(Search!$B$3="",0,IF($A1523="",N(K1522),IF(ISNUMBER(SEARCH(Search!$B$3,$A1523&amp;"")),N(K1522)+1,N(K1522))))</f>
        <v>0</v>
      </c>
    </row>
    <row r="1524" customFormat="false" ht="15" hidden="false" customHeight="false" outlineLevel="0" collapsed="false">
      <c r="K1524" s="24" t="n">
        <f aca="false">IF(Search!$B$3="",0,IF($A1524="",N(K1523),IF(ISNUMBER(SEARCH(Search!$B$3,$A1524&amp;"")),N(K1523)+1,N(K1523))))</f>
        <v>0</v>
      </c>
    </row>
    <row r="1525" customFormat="false" ht="15" hidden="false" customHeight="false" outlineLevel="0" collapsed="false">
      <c r="K1525" s="24" t="n">
        <f aca="false">IF(Search!$B$3="",0,IF($A1525="",N(K1524),IF(ISNUMBER(SEARCH(Search!$B$3,$A1525&amp;"")),N(K1524)+1,N(K1524))))</f>
        <v>0</v>
      </c>
    </row>
    <row r="1526" customFormat="false" ht="15" hidden="false" customHeight="false" outlineLevel="0" collapsed="false">
      <c r="K1526" s="24" t="n">
        <f aca="false">IF(Search!$B$3="",0,IF($A1526="",N(K1525),IF(ISNUMBER(SEARCH(Search!$B$3,$A1526&amp;"")),N(K1525)+1,N(K1525))))</f>
        <v>0</v>
      </c>
    </row>
    <row r="1527" customFormat="false" ht="15" hidden="false" customHeight="false" outlineLevel="0" collapsed="false">
      <c r="K1527" s="24" t="n">
        <f aca="false">IF(Search!$B$3="",0,IF($A1527="",N(K1526),IF(ISNUMBER(SEARCH(Search!$B$3,$A1527&amp;"")),N(K1526)+1,N(K1526))))</f>
        <v>0</v>
      </c>
    </row>
    <row r="1528" customFormat="false" ht="15" hidden="false" customHeight="false" outlineLevel="0" collapsed="false">
      <c r="K1528" s="24" t="n">
        <f aca="false">IF(Search!$B$3="",0,IF($A1528="",N(K1527),IF(ISNUMBER(SEARCH(Search!$B$3,$A1528&amp;"")),N(K1527)+1,N(K1527))))</f>
        <v>0</v>
      </c>
    </row>
    <row r="1529" customFormat="false" ht="15" hidden="false" customHeight="false" outlineLevel="0" collapsed="false">
      <c r="K1529" s="24" t="n">
        <f aca="false">IF(Search!$B$3="",0,IF($A1529="",N(K1528),IF(ISNUMBER(SEARCH(Search!$B$3,$A1529&amp;"")),N(K1528)+1,N(K1528))))</f>
        <v>0</v>
      </c>
    </row>
    <row r="1530" customFormat="false" ht="15" hidden="false" customHeight="false" outlineLevel="0" collapsed="false">
      <c r="K1530" s="24" t="n">
        <f aca="false">IF(Search!$B$3="",0,IF($A1530="",N(K1529),IF(ISNUMBER(SEARCH(Search!$B$3,$A1530&amp;"")),N(K1529)+1,N(K1529))))</f>
        <v>0</v>
      </c>
    </row>
    <row r="1531" customFormat="false" ht="15" hidden="false" customHeight="false" outlineLevel="0" collapsed="false">
      <c r="K1531" s="24" t="n">
        <f aca="false">IF(Search!$B$3="",0,IF($A1531="",N(K1530),IF(ISNUMBER(SEARCH(Search!$B$3,$A1531&amp;"")),N(K1530)+1,N(K1530))))</f>
        <v>0</v>
      </c>
    </row>
    <row r="1532" customFormat="false" ht="15" hidden="false" customHeight="false" outlineLevel="0" collapsed="false">
      <c r="K1532" s="24" t="n">
        <f aca="false">IF(Search!$B$3="",0,IF($A1532="",N(K1531),IF(ISNUMBER(SEARCH(Search!$B$3,$A1532&amp;"")),N(K1531)+1,N(K1531))))</f>
        <v>0</v>
      </c>
    </row>
    <row r="1533" customFormat="false" ht="15" hidden="false" customHeight="false" outlineLevel="0" collapsed="false">
      <c r="K1533" s="24" t="n">
        <f aca="false">IF(Search!$B$3="",0,IF($A1533="",N(K1532),IF(ISNUMBER(SEARCH(Search!$B$3,$A1533&amp;"")),N(K1532)+1,N(K1532))))</f>
        <v>0</v>
      </c>
    </row>
    <row r="1534" customFormat="false" ht="15" hidden="false" customHeight="false" outlineLevel="0" collapsed="false">
      <c r="K1534" s="24" t="n">
        <f aca="false">IF(Search!$B$3="",0,IF($A1534="",N(K1533),IF(ISNUMBER(SEARCH(Search!$B$3,$A1534&amp;"")),N(K1533)+1,N(K1533))))</f>
        <v>0</v>
      </c>
    </row>
    <row r="1535" customFormat="false" ht="15" hidden="false" customHeight="false" outlineLevel="0" collapsed="false">
      <c r="K1535" s="24" t="n">
        <f aca="false">IF(Search!$B$3="",0,IF($A1535="",N(K1534),IF(ISNUMBER(SEARCH(Search!$B$3,$A1535&amp;"")),N(K1534)+1,N(K1534))))</f>
        <v>0</v>
      </c>
    </row>
    <row r="1536" customFormat="false" ht="15" hidden="false" customHeight="false" outlineLevel="0" collapsed="false">
      <c r="K1536" s="24" t="n">
        <f aca="false">IF(Search!$B$3="",0,IF($A1536="",N(K1535),IF(ISNUMBER(SEARCH(Search!$B$3,$A1536&amp;"")),N(K1535)+1,N(K1535))))</f>
        <v>0</v>
      </c>
    </row>
    <row r="1537" customFormat="false" ht="15" hidden="false" customHeight="false" outlineLevel="0" collapsed="false">
      <c r="K1537" s="24" t="n">
        <f aca="false">IF(Search!$B$3="",0,IF($A1537="",N(K1536),IF(ISNUMBER(SEARCH(Search!$B$3,$A1537&amp;"")),N(K1536)+1,N(K1536))))</f>
        <v>0</v>
      </c>
    </row>
    <row r="1538" customFormat="false" ht="15" hidden="false" customHeight="false" outlineLevel="0" collapsed="false">
      <c r="K1538" s="24" t="n">
        <f aca="false">IF(Search!$B$3="",0,IF($A1538="",N(K1537),IF(ISNUMBER(SEARCH(Search!$B$3,$A1538&amp;"")),N(K1537)+1,N(K1537))))</f>
        <v>0</v>
      </c>
    </row>
    <row r="1539" customFormat="false" ht="15" hidden="false" customHeight="false" outlineLevel="0" collapsed="false">
      <c r="K1539" s="24" t="n">
        <f aca="false">IF(Search!$B$3="",0,IF($A1539="",N(K1538),IF(ISNUMBER(SEARCH(Search!$B$3,$A1539&amp;"")),N(K1538)+1,N(K1538))))</f>
        <v>0</v>
      </c>
    </row>
    <row r="1540" customFormat="false" ht="15" hidden="false" customHeight="false" outlineLevel="0" collapsed="false">
      <c r="K1540" s="24" t="n">
        <f aca="false">IF(Search!$B$3="",0,IF($A1540="",N(K1539),IF(ISNUMBER(SEARCH(Search!$B$3,$A1540&amp;"")),N(K1539)+1,N(K1539))))</f>
        <v>0</v>
      </c>
    </row>
    <row r="1541" customFormat="false" ht="15" hidden="false" customHeight="false" outlineLevel="0" collapsed="false">
      <c r="K1541" s="24" t="n">
        <f aca="false">IF(Search!$B$3="",0,IF($A1541="",N(K1540),IF(ISNUMBER(SEARCH(Search!$B$3,$A1541&amp;"")),N(K1540)+1,N(K1540))))</f>
        <v>0</v>
      </c>
    </row>
    <row r="1542" customFormat="false" ht="15" hidden="false" customHeight="false" outlineLevel="0" collapsed="false">
      <c r="K1542" s="24" t="n">
        <f aca="false">IF(Search!$B$3="",0,IF($A1542="",N(K1541),IF(ISNUMBER(SEARCH(Search!$B$3,$A1542&amp;"")),N(K1541)+1,N(K1541))))</f>
        <v>0</v>
      </c>
    </row>
    <row r="1543" customFormat="false" ht="15" hidden="false" customHeight="false" outlineLevel="0" collapsed="false">
      <c r="K1543" s="24" t="n">
        <f aca="false">IF(Search!$B$3="",0,IF($A1543="",N(K1542),IF(ISNUMBER(SEARCH(Search!$B$3,$A1543&amp;"")),N(K1542)+1,N(K1542))))</f>
        <v>0</v>
      </c>
    </row>
    <row r="1544" customFormat="false" ht="15" hidden="false" customHeight="false" outlineLevel="0" collapsed="false">
      <c r="K1544" s="24" t="n">
        <f aca="false">IF(Search!$B$3="",0,IF($A1544="",N(K1543),IF(ISNUMBER(SEARCH(Search!$B$3,$A1544&amp;"")),N(K1543)+1,N(K1543))))</f>
        <v>0</v>
      </c>
    </row>
    <row r="1545" customFormat="false" ht="15" hidden="false" customHeight="false" outlineLevel="0" collapsed="false">
      <c r="K1545" s="24" t="n">
        <f aca="false">IF(Search!$B$3="",0,IF($A1545="",N(K1544),IF(ISNUMBER(SEARCH(Search!$B$3,$A1545&amp;"")),N(K1544)+1,N(K1544))))</f>
        <v>0</v>
      </c>
    </row>
    <row r="1546" customFormat="false" ht="15" hidden="false" customHeight="false" outlineLevel="0" collapsed="false">
      <c r="K1546" s="24" t="n">
        <f aca="false">IF(Search!$B$3="",0,IF($A1546="",N(K1545),IF(ISNUMBER(SEARCH(Search!$B$3,$A1546&amp;"")),N(K1545)+1,N(K1545))))</f>
        <v>0</v>
      </c>
    </row>
    <row r="1547" customFormat="false" ht="15" hidden="false" customHeight="false" outlineLevel="0" collapsed="false">
      <c r="K1547" s="24" t="n">
        <f aca="false">IF(Search!$B$3="",0,IF($A1547="",N(K1546),IF(ISNUMBER(SEARCH(Search!$B$3,$A1547&amp;"")),N(K1546)+1,N(K1546))))</f>
        <v>0</v>
      </c>
    </row>
    <row r="1548" customFormat="false" ht="15" hidden="false" customHeight="false" outlineLevel="0" collapsed="false">
      <c r="K1548" s="24" t="n">
        <f aca="false">IF(Search!$B$3="",0,IF($A1548="",N(K1547),IF(ISNUMBER(SEARCH(Search!$B$3,$A1548&amp;"")),N(K1547)+1,N(K1547))))</f>
        <v>0</v>
      </c>
    </row>
    <row r="1549" customFormat="false" ht="15" hidden="false" customHeight="false" outlineLevel="0" collapsed="false">
      <c r="K1549" s="24" t="n">
        <f aca="false">IF(Search!$B$3="",0,IF($A1549="",N(K1548),IF(ISNUMBER(SEARCH(Search!$B$3,$A1549&amp;"")),N(K1548)+1,N(K1548))))</f>
        <v>0</v>
      </c>
    </row>
    <row r="1550" customFormat="false" ht="15" hidden="false" customHeight="false" outlineLevel="0" collapsed="false">
      <c r="K1550" s="24" t="n">
        <f aca="false">IF(Search!$B$3="",0,IF($A1550="",N(K1549),IF(ISNUMBER(SEARCH(Search!$B$3,$A1550&amp;"")),N(K1549)+1,N(K1549))))</f>
        <v>0</v>
      </c>
    </row>
    <row r="1551" customFormat="false" ht="15" hidden="false" customHeight="false" outlineLevel="0" collapsed="false">
      <c r="K1551" s="24" t="n">
        <f aca="false">IF(Search!$B$3="",0,IF($A1551="",N(K1550),IF(ISNUMBER(SEARCH(Search!$B$3,$A1551&amp;"")),N(K1550)+1,N(K1550))))</f>
        <v>0</v>
      </c>
    </row>
    <row r="1552" customFormat="false" ht="15" hidden="false" customHeight="false" outlineLevel="0" collapsed="false">
      <c r="K1552" s="24" t="n">
        <f aca="false">IF(Search!$B$3="",0,IF($A1552="",N(K1551),IF(ISNUMBER(SEARCH(Search!$B$3,$A1552&amp;"")),N(K1551)+1,N(K1551))))</f>
        <v>0</v>
      </c>
    </row>
    <row r="1553" customFormat="false" ht="15" hidden="false" customHeight="false" outlineLevel="0" collapsed="false">
      <c r="K1553" s="24" t="n">
        <f aca="false">IF(Search!$B$3="",0,IF($A1553="",N(K1552),IF(ISNUMBER(SEARCH(Search!$B$3,$A1553&amp;"")),N(K1552)+1,N(K1552))))</f>
        <v>0</v>
      </c>
    </row>
    <row r="1554" customFormat="false" ht="15" hidden="false" customHeight="false" outlineLevel="0" collapsed="false">
      <c r="K1554" s="24" t="n">
        <f aca="false">IF(Search!$B$3="",0,IF($A1554="",N(K1553),IF(ISNUMBER(SEARCH(Search!$B$3,$A1554&amp;"")),N(K1553)+1,N(K1553))))</f>
        <v>0</v>
      </c>
    </row>
    <row r="1555" customFormat="false" ht="15" hidden="false" customHeight="false" outlineLevel="0" collapsed="false">
      <c r="K1555" s="24" t="n">
        <f aca="false">IF(Search!$B$3="",0,IF($A1555="",N(K1554),IF(ISNUMBER(SEARCH(Search!$B$3,$A1555&amp;"")),N(K1554)+1,N(K1554))))</f>
        <v>0</v>
      </c>
    </row>
    <row r="1556" customFormat="false" ht="15" hidden="false" customHeight="false" outlineLevel="0" collapsed="false">
      <c r="K1556" s="24" t="n">
        <f aca="false">IF(Search!$B$3="",0,IF($A1556="",N(K1555),IF(ISNUMBER(SEARCH(Search!$B$3,$A1556&amp;"")),N(K1555)+1,N(K1555))))</f>
        <v>0</v>
      </c>
    </row>
    <row r="1557" customFormat="false" ht="15" hidden="false" customHeight="false" outlineLevel="0" collapsed="false">
      <c r="K1557" s="24" t="n">
        <f aca="false">IF(Search!$B$3="",0,IF($A1557="",N(K1556),IF(ISNUMBER(SEARCH(Search!$B$3,$A1557&amp;"")),N(K1556)+1,N(K1556))))</f>
        <v>0</v>
      </c>
    </row>
    <row r="1558" customFormat="false" ht="15" hidden="false" customHeight="false" outlineLevel="0" collapsed="false">
      <c r="K1558" s="24" t="n">
        <f aca="false">IF(Search!$B$3="",0,IF($A1558="",N(K1557),IF(ISNUMBER(SEARCH(Search!$B$3,$A1558&amp;"")),N(K1557)+1,N(K1557))))</f>
        <v>0</v>
      </c>
    </row>
    <row r="1559" customFormat="false" ht="15" hidden="false" customHeight="false" outlineLevel="0" collapsed="false">
      <c r="K1559" s="24" t="n">
        <f aca="false">IF(Search!$B$3="",0,IF($A1559="",N(K1558),IF(ISNUMBER(SEARCH(Search!$B$3,$A1559&amp;"")),N(K1558)+1,N(K1558))))</f>
        <v>0</v>
      </c>
    </row>
    <row r="1560" customFormat="false" ht="15" hidden="false" customHeight="false" outlineLevel="0" collapsed="false">
      <c r="K1560" s="24" t="n">
        <f aca="false">IF(Search!$B$3="",0,IF($A1560="",N(K1559),IF(ISNUMBER(SEARCH(Search!$B$3,$A1560&amp;"")),N(K1559)+1,N(K1559))))</f>
        <v>0</v>
      </c>
    </row>
    <row r="1561" customFormat="false" ht="15" hidden="false" customHeight="false" outlineLevel="0" collapsed="false">
      <c r="K1561" s="24" t="n">
        <f aca="false">IF(Search!$B$3="",0,IF($A1561="",N(K1560),IF(ISNUMBER(SEARCH(Search!$B$3,$A1561&amp;"")),N(K1560)+1,N(K1560))))</f>
        <v>0</v>
      </c>
    </row>
    <row r="1562" customFormat="false" ht="15" hidden="false" customHeight="false" outlineLevel="0" collapsed="false">
      <c r="K1562" s="24" t="n">
        <f aca="false">IF(Search!$B$3="",0,IF($A1562="",N(K1561),IF(ISNUMBER(SEARCH(Search!$B$3,$A1562&amp;"")),N(K1561)+1,N(K1561))))</f>
        <v>0</v>
      </c>
    </row>
    <row r="1563" customFormat="false" ht="15" hidden="false" customHeight="false" outlineLevel="0" collapsed="false">
      <c r="K1563" s="24" t="n">
        <f aca="false">IF(Search!$B$3="",0,IF($A1563="",N(K1562),IF(ISNUMBER(SEARCH(Search!$B$3,$A1563&amp;"")),N(K1562)+1,N(K1562))))</f>
        <v>0</v>
      </c>
    </row>
    <row r="1564" customFormat="false" ht="15" hidden="false" customHeight="false" outlineLevel="0" collapsed="false">
      <c r="K1564" s="24" t="n">
        <f aca="false">IF(Search!$B$3="",0,IF($A1564="",N(K1563),IF(ISNUMBER(SEARCH(Search!$B$3,$A1564&amp;"")),N(K1563)+1,N(K1563))))</f>
        <v>0</v>
      </c>
    </row>
    <row r="1565" customFormat="false" ht="15" hidden="false" customHeight="false" outlineLevel="0" collapsed="false">
      <c r="K1565" s="24" t="n">
        <f aca="false">IF(Search!$B$3="",0,IF($A1565="",N(K1564),IF(ISNUMBER(SEARCH(Search!$B$3,$A1565&amp;"")),N(K1564)+1,N(K1564))))</f>
        <v>0</v>
      </c>
    </row>
    <row r="1566" customFormat="false" ht="15" hidden="false" customHeight="false" outlineLevel="0" collapsed="false">
      <c r="K1566" s="24" t="n">
        <f aca="false">IF(Search!$B$3="",0,IF($A1566="",N(K1565),IF(ISNUMBER(SEARCH(Search!$B$3,$A1566&amp;"")),N(K1565)+1,N(K1565))))</f>
        <v>0</v>
      </c>
    </row>
    <row r="1567" customFormat="false" ht="15" hidden="false" customHeight="false" outlineLevel="0" collapsed="false">
      <c r="K1567" s="24" t="n">
        <f aca="false">IF(Search!$B$3="",0,IF($A1567="",N(K1566),IF(ISNUMBER(SEARCH(Search!$B$3,$A1567&amp;"")),N(K1566)+1,N(K1566))))</f>
        <v>0</v>
      </c>
    </row>
    <row r="1568" customFormat="false" ht="15" hidden="false" customHeight="false" outlineLevel="0" collapsed="false">
      <c r="K1568" s="24" t="n">
        <f aca="false">IF(Search!$B$3="",0,IF($A1568="",N(K1567),IF(ISNUMBER(SEARCH(Search!$B$3,$A1568&amp;"")),N(K1567)+1,N(K1567))))</f>
        <v>0</v>
      </c>
    </row>
    <row r="1569" customFormat="false" ht="15" hidden="false" customHeight="false" outlineLevel="0" collapsed="false">
      <c r="K1569" s="24" t="n">
        <f aca="false">IF(Search!$B$3="",0,IF($A1569="",N(K1568),IF(ISNUMBER(SEARCH(Search!$B$3,$A1569&amp;"")),N(K1568)+1,N(K1568))))</f>
        <v>0</v>
      </c>
    </row>
    <row r="1570" customFormat="false" ht="15" hidden="false" customHeight="false" outlineLevel="0" collapsed="false">
      <c r="K1570" s="24" t="n">
        <f aca="false">IF(Search!$B$3="",0,IF($A1570="",N(K1569),IF(ISNUMBER(SEARCH(Search!$B$3,$A1570&amp;"")),N(K1569)+1,N(K1569))))</f>
        <v>0</v>
      </c>
    </row>
    <row r="1571" customFormat="false" ht="15" hidden="false" customHeight="false" outlineLevel="0" collapsed="false">
      <c r="K1571" s="24" t="n">
        <f aca="false">IF(Search!$B$3="",0,IF($A1571="",N(K1570),IF(ISNUMBER(SEARCH(Search!$B$3,$A1571&amp;"")),N(K1570)+1,N(K1570))))</f>
        <v>0</v>
      </c>
    </row>
    <row r="1572" customFormat="false" ht="15" hidden="false" customHeight="false" outlineLevel="0" collapsed="false">
      <c r="K1572" s="24" t="n">
        <f aca="false">IF(Search!$B$3="",0,IF($A1572="",N(K1571),IF(ISNUMBER(SEARCH(Search!$B$3,$A1572&amp;"")),N(K1571)+1,N(K1571))))</f>
        <v>0</v>
      </c>
    </row>
    <row r="1573" customFormat="false" ht="15" hidden="false" customHeight="false" outlineLevel="0" collapsed="false">
      <c r="K1573" s="24" t="n">
        <f aca="false">IF(Search!$B$3="",0,IF($A1573="",N(K1572),IF(ISNUMBER(SEARCH(Search!$B$3,$A1573&amp;"")),N(K1572)+1,N(K1572))))</f>
        <v>0</v>
      </c>
    </row>
    <row r="1574" customFormat="false" ht="15" hidden="false" customHeight="false" outlineLevel="0" collapsed="false">
      <c r="K1574" s="24" t="n">
        <f aca="false">IF(Search!$B$3="",0,IF($A1574="",N(K1573),IF(ISNUMBER(SEARCH(Search!$B$3,$A1574&amp;"")),N(K1573)+1,N(K1573))))</f>
        <v>0</v>
      </c>
    </row>
    <row r="1575" customFormat="false" ht="15" hidden="false" customHeight="false" outlineLevel="0" collapsed="false">
      <c r="K1575" s="24" t="n">
        <f aca="false">IF(Search!$B$3="",0,IF($A1575="",N(K1574),IF(ISNUMBER(SEARCH(Search!$B$3,$A1575&amp;"")),N(K1574)+1,N(K1574))))</f>
        <v>0</v>
      </c>
    </row>
    <row r="1576" customFormat="false" ht="15" hidden="false" customHeight="false" outlineLevel="0" collapsed="false">
      <c r="K1576" s="24" t="n">
        <f aca="false">IF(Search!$B$3="",0,IF($A1576="",N(K1575),IF(ISNUMBER(SEARCH(Search!$B$3,$A1576&amp;"")),N(K1575)+1,N(K1575))))</f>
        <v>0</v>
      </c>
    </row>
    <row r="1577" customFormat="false" ht="15" hidden="false" customHeight="false" outlineLevel="0" collapsed="false">
      <c r="K1577" s="24" t="n">
        <f aca="false">IF(Search!$B$3="",0,IF($A1577="",N(K1576),IF(ISNUMBER(SEARCH(Search!$B$3,$A1577&amp;"")),N(K1576)+1,N(K1576))))</f>
        <v>0</v>
      </c>
    </row>
    <row r="1578" customFormat="false" ht="15" hidden="false" customHeight="false" outlineLevel="0" collapsed="false">
      <c r="K1578" s="24" t="n">
        <f aca="false">IF(Search!$B$3="",0,IF($A1578="",N(K1577),IF(ISNUMBER(SEARCH(Search!$B$3,$A1578&amp;"")),N(K1577)+1,N(K1577))))</f>
        <v>0</v>
      </c>
    </row>
    <row r="1579" customFormat="false" ht="15" hidden="false" customHeight="false" outlineLevel="0" collapsed="false">
      <c r="K1579" s="24" t="n">
        <f aca="false">IF(Search!$B$3="",0,IF($A1579="",N(K1578),IF(ISNUMBER(SEARCH(Search!$B$3,$A1579&amp;"")),N(K1578)+1,N(K1578))))</f>
        <v>0</v>
      </c>
    </row>
    <row r="1580" customFormat="false" ht="15" hidden="false" customHeight="false" outlineLevel="0" collapsed="false">
      <c r="K1580" s="24" t="n">
        <f aca="false">IF(Search!$B$3="",0,IF($A1580="",N(K1579),IF(ISNUMBER(SEARCH(Search!$B$3,$A1580&amp;"")),N(K1579)+1,N(K1579))))</f>
        <v>0</v>
      </c>
    </row>
    <row r="1581" customFormat="false" ht="15" hidden="false" customHeight="false" outlineLevel="0" collapsed="false">
      <c r="K1581" s="24" t="n">
        <f aca="false">IF(Search!$B$3="",0,IF($A1581="",N(K1580),IF(ISNUMBER(SEARCH(Search!$B$3,$A1581&amp;"")),N(K1580)+1,N(K1580))))</f>
        <v>0</v>
      </c>
    </row>
    <row r="1582" customFormat="false" ht="15" hidden="false" customHeight="false" outlineLevel="0" collapsed="false">
      <c r="K1582" s="24" t="n">
        <f aca="false">IF(Search!$B$3="",0,IF($A1582="",N(K1581),IF(ISNUMBER(SEARCH(Search!$B$3,$A1582&amp;"")),N(K1581)+1,N(K1581))))</f>
        <v>0</v>
      </c>
    </row>
    <row r="1583" customFormat="false" ht="15" hidden="false" customHeight="false" outlineLevel="0" collapsed="false">
      <c r="K1583" s="24" t="n">
        <f aca="false">IF(Search!$B$3="",0,IF($A1583="",N(K1582),IF(ISNUMBER(SEARCH(Search!$B$3,$A1583&amp;"")),N(K1582)+1,N(K1582))))</f>
        <v>0</v>
      </c>
    </row>
    <row r="1584" customFormat="false" ht="15" hidden="false" customHeight="false" outlineLevel="0" collapsed="false">
      <c r="K1584" s="24" t="n">
        <f aca="false">IF(Search!$B$3="",0,IF($A1584="",N(K1583),IF(ISNUMBER(SEARCH(Search!$B$3,$A1584&amp;"")),N(K1583)+1,N(K1583))))</f>
        <v>0</v>
      </c>
    </row>
    <row r="1585" customFormat="false" ht="15" hidden="false" customHeight="false" outlineLevel="0" collapsed="false">
      <c r="K1585" s="24" t="n">
        <f aca="false">IF(Search!$B$3="",0,IF($A1585="",N(K1584),IF(ISNUMBER(SEARCH(Search!$B$3,$A1585&amp;"")),N(K1584)+1,N(K1584))))</f>
        <v>0</v>
      </c>
    </row>
    <row r="1586" customFormat="false" ht="15" hidden="false" customHeight="false" outlineLevel="0" collapsed="false">
      <c r="K1586" s="24" t="n">
        <f aca="false">IF(Search!$B$3="",0,IF($A1586="",N(K1585),IF(ISNUMBER(SEARCH(Search!$B$3,$A1586&amp;"")),N(K1585)+1,N(K1585))))</f>
        <v>0</v>
      </c>
    </row>
    <row r="1587" customFormat="false" ht="15" hidden="false" customHeight="false" outlineLevel="0" collapsed="false">
      <c r="K1587" s="24" t="n">
        <f aca="false">IF(Search!$B$3="",0,IF($A1587="",N(K1586),IF(ISNUMBER(SEARCH(Search!$B$3,$A1587&amp;"")),N(K1586)+1,N(K1586))))</f>
        <v>0</v>
      </c>
    </row>
    <row r="1588" customFormat="false" ht="15" hidden="false" customHeight="false" outlineLevel="0" collapsed="false">
      <c r="K1588" s="24" t="n">
        <f aca="false">IF(Search!$B$3="",0,IF($A1588="",N(K1587),IF(ISNUMBER(SEARCH(Search!$B$3,$A1588&amp;"")),N(K1587)+1,N(K1587))))</f>
        <v>0</v>
      </c>
    </row>
    <row r="1589" customFormat="false" ht="15" hidden="false" customHeight="false" outlineLevel="0" collapsed="false">
      <c r="K1589" s="24" t="n">
        <f aca="false">IF(Search!$B$3="",0,IF($A1589="",N(K1588),IF(ISNUMBER(SEARCH(Search!$B$3,$A1589&amp;"")),N(K1588)+1,N(K1588))))</f>
        <v>0</v>
      </c>
    </row>
    <row r="1590" customFormat="false" ht="15" hidden="false" customHeight="false" outlineLevel="0" collapsed="false">
      <c r="K1590" s="24" t="n">
        <f aca="false">IF(Search!$B$3="",0,IF($A1590="",N(K1589),IF(ISNUMBER(SEARCH(Search!$B$3,$A1590&amp;"")),N(K1589)+1,N(K1589))))</f>
        <v>0</v>
      </c>
    </row>
    <row r="1591" customFormat="false" ht="15" hidden="false" customHeight="false" outlineLevel="0" collapsed="false">
      <c r="K1591" s="24" t="n">
        <f aca="false">IF(Search!$B$3="",0,IF($A1591="",N(K1590),IF(ISNUMBER(SEARCH(Search!$B$3,$A1591&amp;"")),N(K1590)+1,N(K1590))))</f>
        <v>0</v>
      </c>
    </row>
    <row r="1592" customFormat="false" ht="15" hidden="false" customHeight="false" outlineLevel="0" collapsed="false">
      <c r="K1592" s="24" t="n">
        <f aca="false">IF(Search!$B$3="",0,IF($A1592="",N(K1591),IF(ISNUMBER(SEARCH(Search!$B$3,$A1592&amp;"")),N(K1591)+1,N(K1591))))</f>
        <v>0</v>
      </c>
    </row>
    <row r="1593" customFormat="false" ht="15" hidden="false" customHeight="false" outlineLevel="0" collapsed="false">
      <c r="K1593" s="24" t="n">
        <f aca="false">IF(Search!$B$3="",0,IF($A1593="",N(K1592),IF(ISNUMBER(SEARCH(Search!$B$3,$A1593&amp;"")),N(K1592)+1,N(K1592))))</f>
        <v>0</v>
      </c>
    </row>
    <row r="1594" customFormat="false" ht="15" hidden="false" customHeight="false" outlineLevel="0" collapsed="false">
      <c r="K1594" s="24" t="n">
        <f aca="false">IF(Search!$B$3="",0,IF($A1594="",N(K1593),IF(ISNUMBER(SEARCH(Search!$B$3,$A1594&amp;"")),N(K1593)+1,N(K1593))))</f>
        <v>0</v>
      </c>
    </row>
    <row r="1595" customFormat="false" ht="15" hidden="false" customHeight="false" outlineLevel="0" collapsed="false">
      <c r="K1595" s="24" t="n">
        <f aca="false">IF(Search!$B$3="",0,IF($A1595="",N(K1594),IF(ISNUMBER(SEARCH(Search!$B$3,$A1595&amp;"")),N(K1594)+1,N(K1594))))</f>
        <v>0</v>
      </c>
    </row>
    <row r="1596" customFormat="false" ht="15" hidden="false" customHeight="false" outlineLevel="0" collapsed="false">
      <c r="K1596" s="24" t="n">
        <f aca="false">IF(Search!$B$3="",0,IF($A1596="",N(K1595),IF(ISNUMBER(SEARCH(Search!$B$3,$A1596&amp;"")),N(K1595)+1,N(K1595))))</f>
        <v>0</v>
      </c>
    </row>
    <row r="1597" customFormat="false" ht="15" hidden="false" customHeight="false" outlineLevel="0" collapsed="false">
      <c r="K1597" s="24" t="n">
        <f aca="false">IF(Search!$B$3="",0,IF($A1597="",N(K1596),IF(ISNUMBER(SEARCH(Search!$B$3,$A1597&amp;"")),N(K1596)+1,N(K1596))))</f>
        <v>0</v>
      </c>
    </row>
    <row r="1598" customFormat="false" ht="15" hidden="false" customHeight="false" outlineLevel="0" collapsed="false">
      <c r="K1598" s="24" t="n">
        <f aca="false">IF(Search!$B$3="",0,IF($A1598="",N(K1597),IF(ISNUMBER(SEARCH(Search!$B$3,$A1598&amp;"")),N(K1597)+1,N(K1597))))</f>
        <v>0</v>
      </c>
    </row>
    <row r="1599" customFormat="false" ht="15" hidden="false" customHeight="false" outlineLevel="0" collapsed="false">
      <c r="K1599" s="24" t="n">
        <f aca="false">IF(Search!$B$3="",0,IF($A1599="",N(K1598),IF(ISNUMBER(SEARCH(Search!$B$3,$A1599&amp;"")),N(K1598)+1,N(K1598))))</f>
        <v>0</v>
      </c>
    </row>
    <row r="1600" customFormat="false" ht="15" hidden="false" customHeight="false" outlineLevel="0" collapsed="false">
      <c r="K1600" s="24" t="n">
        <f aca="false">IF(Search!$B$3="",0,IF($A1600="",N(K1599),IF(ISNUMBER(SEARCH(Search!$B$3,$A1600&amp;"")),N(K1599)+1,N(K1599))))</f>
        <v>0</v>
      </c>
    </row>
    <row r="1601" customFormat="false" ht="15" hidden="false" customHeight="false" outlineLevel="0" collapsed="false">
      <c r="K1601" s="24" t="n">
        <f aca="false">IF(Search!$B$3="",0,IF($A1601="",N(K1600),IF(ISNUMBER(SEARCH(Search!$B$3,$A1601&amp;"")),N(K1600)+1,N(K1600))))</f>
        <v>0</v>
      </c>
    </row>
    <row r="1602" customFormat="false" ht="15" hidden="false" customHeight="false" outlineLevel="0" collapsed="false">
      <c r="K1602" s="24" t="n">
        <f aca="false">IF(Search!$B$3="",0,IF($A1602="",N(K1601),IF(ISNUMBER(SEARCH(Search!$B$3,$A1602&amp;"")),N(K1601)+1,N(K1601))))</f>
        <v>0</v>
      </c>
    </row>
    <row r="1603" customFormat="false" ht="15" hidden="false" customHeight="false" outlineLevel="0" collapsed="false">
      <c r="K1603" s="24" t="n">
        <f aca="false">IF(Search!$B$3="",0,IF($A1603="",N(K1602),IF(ISNUMBER(SEARCH(Search!$B$3,$A1603&amp;"")),N(K1602)+1,N(K1602))))</f>
        <v>0</v>
      </c>
    </row>
    <row r="1604" customFormat="false" ht="15" hidden="false" customHeight="false" outlineLevel="0" collapsed="false">
      <c r="K1604" s="24" t="n">
        <f aca="false">IF(Search!$B$3="",0,IF($A1604="",N(K1603),IF(ISNUMBER(SEARCH(Search!$B$3,$A1604&amp;"")),N(K1603)+1,N(K1603))))</f>
        <v>0</v>
      </c>
    </row>
    <row r="1605" customFormat="false" ht="15" hidden="false" customHeight="false" outlineLevel="0" collapsed="false">
      <c r="K1605" s="24" t="n">
        <f aca="false">IF(Search!$B$3="",0,IF($A1605="",N(K1604),IF(ISNUMBER(SEARCH(Search!$B$3,$A1605&amp;"")),N(K1604)+1,N(K1604))))</f>
        <v>0</v>
      </c>
    </row>
    <row r="1606" customFormat="false" ht="15" hidden="false" customHeight="false" outlineLevel="0" collapsed="false">
      <c r="K1606" s="24" t="n">
        <f aca="false">IF(Search!$B$3="",0,IF($A1606="",N(K1605),IF(ISNUMBER(SEARCH(Search!$B$3,$A1606&amp;"")),N(K1605)+1,N(K1605))))</f>
        <v>0</v>
      </c>
    </row>
    <row r="1607" customFormat="false" ht="15" hidden="false" customHeight="false" outlineLevel="0" collapsed="false">
      <c r="K1607" s="24" t="n">
        <f aca="false">IF(Search!$B$3="",0,IF($A1607="",N(K1606),IF(ISNUMBER(SEARCH(Search!$B$3,$A1607&amp;"")),N(K1606)+1,N(K1606))))</f>
        <v>0</v>
      </c>
    </row>
    <row r="1608" customFormat="false" ht="15" hidden="false" customHeight="false" outlineLevel="0" collapsed="false">
      <c r="K1608" s="24" t="n">
        <f aca="false">IF(Search!$B$3="",0,IF($A1608="",N(K1607),IF(ISNUMBER(SEARCH(Search!$B$3,$A1608&amp;"")),N(K1607)+1,N(K1607))))</f>
        <v>0</v>
      </c>
    </row>
    <row r="1609" customFormat="false" ht="15" hidden="false" customHeight="false" outlineLevel="0" collapsed="false">
      <c r="K1609" s="24" t="n">
        <f aca="false">IF(Search!$B$3="",0,IF($A1609="",N(K1608),IF(ISNUMBER(SEARCH(Search!$B$3,$A1609&amp;"")),N(K1608)+1,N(K1608))))</f>
        <v>0</v>
      </c>
    </row>
    <row r="1610" customFormat="false" ht="15" hidden="false" customHeight="false" outlineLevel="0" collapsed="false">
      <c r="K1610" s="24" t="n">
        <f aca="false">IF(Search!$B$3="",0,IF($A1610="",N(K1609),IF(ISNUMBER(SEARCH(Search!$B$3,$A1610&amp;"")),N(K1609)+1,N(K1609))))</f>
        <v>0</v>
      </c>
    </row>
    <row r="1611" customFormat="false" ht="15" hidden="false" customHeight="false" outlineLevel="0" collapsed="false">
      <c r="K1611" s="24" t="n">
        <f aca="false">IF(Search!$B$3="",0,IF($A1611="",N(K1610),IF(ISNUMBER(SEARCH(Search!$B$3,$A1611&amp;"")),N(K1610)+1,N(K1610))))</f>
        <v>0</v>
      </c>
    </row>
    <row r="1612" customFormat="false" ht="15" hidden="false" customHeight="false" outlineLevel="0" collapsed="false">
      <c r="K1612" s="24" t="n">
        <f aca="false">IF(Search!$B$3="",0,IF($A1612="",N(K1611),IF(ISNUMBER(SEARCH(Search!$B$3,$A1612&amp;"")),N(K1611)+1,N(K1611))))</f>
        <v>0</v>
      </c>
    </row>
    <row r="1613" customFormat="false" ht="15" hidden="false" customHeight="false" outlineLevel="0" collapsed="false">
      <c r="K1613" s="24" t="n">
        <f aca="false">IF(Search!$B$3="",0,IF($A1613="",N(K1612),IF(ISNUMBER(SEARCH(Search!$B$3,$A1613&amp;"")),N(K1612)+1,N(K1612))))</f>
        <v>0</v>
      </c>
    </row>
    <row r="1614" customFormat="false" ht="15" hidden="false" customHeight="false" outlineLevel="0" collapsed="false">
      <c r="K1614" s="24" t="n">
        <f aca="false">IF(Search!$B$3="",0,IF($A1614="",N(K1613),IF(ISNUMBER(SEARCH(Search!$B$3,$A1614&amp;"")),N(K1613)+1,N(K1613))))</f>
        <v>0</v>
      </c>
    </row>
    <row r="1615" customFormat="false" ht="15" hidden="false" customHeight="false" outlineLevel="0" collapsed="false">
      <c r="K1615" s="24" t="n">
        <f aca="false">IF(Search!$B$3="",0,IF($A1615="",N(K1614),IF(ISNUMBER(SEARCH(Search!$B$3,$A1615&amp;"")),N(K1614)+1,N(K1614))))</f>
        <v>0</v>
      </c>
    </row>
    <row r="1616" customFormat="false" ht="15" hidden="false" customHeight="false" outlineLevel="0" collapsed="false">
      <c r="K1616" s="24" t="n">
        <f aca="false">IF(Search!$B$3="",0,IF($A1616="",N(K1615),IF(ISNUMBER(SEARCH(Search!$B$3,$A1616&amp;"")),N(K1615)+1,N(K1615))))</f>
        <v>0</v>
      </c>
    </row>
    <row r="1617" customFormat="false" ht="15" hidden="false" customHeight="false" outlineLevel="0" collapsed="false">
      <c r="K1617" s="24" t="n">
        <f aca="false">IF(Search!$B$3="",0,IF($A1617="",N(K1616),IF(ISNUMBER(SEARCH(Search!$B$3,$A1617&amp;"")),N(K1616)+1,N(K1616))))</f>
        <v>0</v>
      </c>
    </row>
    <row r="1618" customFormat="false" ht="15" hidden="false" customHeight="false" outlineLevel="0" collapsed="false">
      <c r="K1618" s="24" t="n">
        <f aca="false">IF(Search!$B$3="",0,IF($A1618="",N(K1617),IF(ISNUMBER(SEARCH(Search!$B$3,$A1618&amp;"")),N(K1617)+1,N(K1617))))</f>
        <v>0</v>
      </c>
    </row>
    <row r="1619" customFormat="false" ht="15" hidden="false" customHeight="false" outlineLevel="0" collapsed="false">
      <c r="K1619" s="24" t="n">
        <f aca="false">IF(Search!$B$3="",0,IF($A1619="",N(K1618),IF(ISNUMBER(SEARCH(Search!$B$3,$A1619&amp;"")),N(K1618)+1,N(K1618))))</f>
        <v>0</v>
      </c>
    </row>
    <row r="1620" customFormat="false" ht="15" hidden="false" customHeight="false" outlineLevel="0" collapsed="false">
      <c r="K1620" s="24" t="n">
        <f aca="false">IF(Search!$B$3="",0,IF($A1620="",N(K1619),IF(ISNUMBER(SEARCH(Search!$B$3,$A1620&amp;"")),N(K1619)+1,N(K1619))))</f>
        <v>0</v>
      </c>
    </row>
    <row r="1621" customFormat="false" ht="15" hidden="false" customHeight="false" outlineLevel="0" collapsed="false">
      <c r="K1621" s="24" t="n">
        <f aca="false">IF(Search!$B$3="",0,IF($A1621="",N(K1620),IF(ISNUMBER(SEARCH(Search!$B$3,$A1621&amp;"")),N(K1620)+1,N(K1620))))</f>
        <v>0</v>
      </c>
    </row>
    <row r="1622" customFormat="false" ht="15" hidden="false" customHeight="false" outlineLevel="0" collapsed="false">
      <c r="K1622" s="24" t="n">
        <f aca="false">IF(Search!$B$3="",0,IF($A1622="",N(K1621),IF(ISNUMBER(SEARCH(Search!$B$3,$A1622&amp;"")),N(K1621)+1,N(K1621))))</f>
        <v>0</v>
      </c>
    </row>
    <row r="1623" customFormat="false" ht="15" hidden="false" customHeight="false" outlineLevel="0" collapsed="false">
      <c r="K1623" s="24" t="n">
        <f aca="false">IF(Search!$B$3="",0,IF($A1623="",N(K1622),IF(ISNUMBER(SEARCH(Search!$B$3,$A1623&amp;"")),N(K1622)+1,N(K1622))))</f>
        <v>0</v>
      </c>
    </row>
    <row r="1624" customFormat="false" ht="15" hidden="false" customHeight="false" outlineLevel="0" collapsed="false">
      <c r="K1624" s="24" t="n">
        <f aca="false">IF(Search!$B$3="",0,IF($A1624="",N(K1623),IF(ISNUMBER(SEARCH(Search!$B$3,$A1624&amp;"")),N(K1623)+1,N(K1623))))</f>
        <v>0</v>
      </c>
    </row>
    <row r="1625" customFormat="false" ht="15" hidden="false" customHeight="false" outlineLevel="0" collapsed="false">
      <c r="K1625" s="24" t="n">
        <f aca="false">IF(Search!$B$3="",0,IF($A1625="",N(K1624),IF(ISNUMBER(SEARCH(Search!$B$3,$A1625&amp;"")),N(K1624)+1,N(K1624))))</f>
        <v>0</v>
      </c>
    </row>
    <row r="1626" customFormat="false" ht="15" hidden="false" customHeight="false" outlineLevel="0" collapsed="false">
      <c r="K1626" s="24" t="n">
        <f aca="false">IF(Search!$B$3="",0,IF($A1626="",N(K1625),IF(ISNUMBER(SEARCH(Search!$B$3,$A1626&amp;"")),N(K1625)+1,N(K1625))))</f>
        <v>0</v>
      </c>
    </row>
    <row r="1627" customFormat="false" ht="15" hidden="false" customHeight="false" outlineLevel="0" collapsed="false">
      <c r="K1627" s="24" t="n">
        <f aca="false">IF(Search!$B$3="",0,IF($A1627="",N(K1626),IF(ISNUMBER(SEARCH(Search!$B$3,$A1627&amp;"")),N(K1626)+1,N(K1626))))</f>
        <v>0</v>
      </c>
    </row>
    <row r="1628" customFormat="false" ht="15" hidden="false" customHeight="false" outlineLevel="0" collapsed="false">
      <c r="K1628" s="24" t="n">
        <f aca="false">IF(Search!$B$3="",0,IF($A1628="",N(K1627),IF(ISNUMBER(SEARCH(Search!$B$3,$A1628&amp;"")),N(K1627)+1,N(K1627))))</f>
        <v>0</v>
      </c>
    </row>
    <row r="1629" customFormat="false" ht="15" hidden="false" customHeight="false" outlineLevel="0" collapsed="false">
      <c r="K1629" s="24" t="n">
        <f aca="false">IF(Search!$B$3="",0,IF($A1629="",N(K1628),IF(ISNUMBER(SEARCH(Search!$B$3,$A1629&amp;"")),N(K1628)+1,N(K1628))))</f>
        <v>0</v>
      </c>
    </row>
    <row r="1630" customFormat="false" ht="15" hidden="false" customHeight="false" outlineLevel="0" collapsed="false">
      <c r="K1630" s="24" t="n">
        <f aca="false">IF(Search!$B$3="",0,IF($A1630="",N(K1629),IF(ISNUMBER(SEARCH(Search!$B$3,$A1630&amp;"")),N(K1629)+1,N(K1629))))</f>
        <v>0</v>
      </c>
    </row>
    <row r="1631" customFormat="false" ht="15" hidden="false" customHeight="false" outlineLevel="0" collapsed="false">
      <c r="K1631" s="24" t="n">
        <f aca="false">IF(Search!$B$3="",0,IF($A1631="",N(K1630),IF(ISNUMBER(SEARCH(Search!$B$3,$A1631&amp;"")),N(K1630)+1,N(K1630))))</f>
        <v>0</v>
      </c>
    </row>
    <row r="1632" customFormat="false" ht="15" hidden="false" customHeight="false" outlineLevel="0" collapsed="false">
      <c r="K1632" s="24" t="n">
        <f aca="false">IF(Search!$B$3="",0,IF($A1632="",N(K1631),IF(ISNUMBER(SEARCH(Search!$B$3,$A1632&amp;"")),N(K1631)+1,N(K1631))))</f>
        <v>0</v>
      </c>
    </row>
    <row r="1633" customFormat="false" ht="15" hidden="false" customHeight="false" outlineLevel="0" collapsed="false">
      <c r="K1633" s="24" t="n">
        <f aca="false">IF(Search!$B$3="",0,IF($A1633="",N(K1632),IF(ISNUMBER(SEARCH(Search!$B$3,$A1633&amp;"")),N(K1632)+1,N(K1632))))</f>
        <v>0</v>
      </c>
    </row>
    <row r="1634" customFormat="false" ht="15" hidden="false" customHeight="false" outlineLevel="0" collapsed="false">
      <c r="K1634" s="24" t="n">
        <f aca="false">IF(Search!$B$3="",0,IF($A1634="",N(K1633),IF(ISNUMBER(SEARCH(Search!$B$3,$A1634&amp;"")),N(K1633)+1,N(K1633))))</f>
        <v>0</v>
      </c>
    </row>
    <row r="1635" customFormat="false" ht="15" hidden="false" customHeight="false" outlineLevel="0" collapsed="false">
      <c r="K1635" s="24" t="n">
        <f aca="false">IF(Search!$B$3="",0,IF($A1635="",N(K1634),IF(ISNUMBER(SEARCH(Search!$B$3,$A1635&amp;"")),N(K1634)+1,N(K1634))))</f>
        <v>0</v>
      </c>
    </row>
    <row r="1636" customFormat="false" ht="15" hidden="false" customHeight="false" outlineLevel="0" collapsed="false">
      <c r="K1636" s="24" t="n">
        <f aca="false">IF(Search!$B$3="",0,IF($A1636="",N(K1635),IF(ISNUMBER(SEARCH(Search!$B$3,$A1636&amp;"")),N(K1635)+1,N(K1635))))</f>
        <v>0</v>
      </c>
    </row>
    <row r="1637" customFormat="false" ht="15" hidden="false" customHeight="false" outlineLevel="0" collapsed="false">
      <c r="K1637" s="24" t="n">
        <f aca="false">IF(Search!$B$3="",0,IF($A1637="",N(K1636),IF(ISNUMBER(SEARCH(Search!$B$3,$A1637&amp;"")),N(K1636)+1,N(K1636))))</f>
        <v>0</v>
      </c>
    </row>
    <row r="1638" customFormat="false" ht="15" hidden="false" customHeight="false" outlineLevel="0" collapsed="false">
      <c r="K1638" s="24" t="n">
        <f aca="false">IF(Search!$B$3="",0,IF($A1638="",N(K1637),IF(ISNUMBER(SEARCH(Search!$B$3,$A1638&amp;"")),N(K1637)+1,N(K1637))))</f>
        <v>0</v>
      </c>
    </row>
    <row r="1639" customFormat="false" ht="15" hidden="false" customHeight="false" outlineLevel="0" collapsed="false">
      <c r="K1639" s="24" t="n">
        <f aca="false">IF(Search!$B$3="",0,IF($A1639="",N(K1638),IF(ISNUMBER(SEARCH(Search!$B$3,$A1639&amp;"")),N(K1638)+1,N(K1638))))</f>
        <v>0</v>
      </c>
    </row>
    <row r="1640" customFormat="false" ht="15" hidden="false" customHeight="false" outlineLevel="0" collapsed="false">
      <c r="K1640" s="24" t="n">
        <f aca="false">IF(Search!$B$3="",0,IF($A1640="",N(K1639),IF(ISNUMBER(SEARCH(Search!$B$3,$A1640&amp;"")),N(K1639)+1,N(K1639))))</f>
        <v>0</v>
      </c>
    </row>
    <row r="1641" customFormat="false" ht="15" hidden="false" customHeight="false" outlineLevel="0" collapsed="false">
      <c r="K1641" s="24" t="n">
        <f aca="false">IF(Search!$B$3="",0,IF($A1641="",N(K1640),IF(ISNUMBER(SEARCH(Search!$B$3,$A1641&amp;"")),N(K1640)+1,N(K1640))))</f>
        <v>0</v>
      </c>
    </row>
    <row r="1642" customFormat="false" ht="15" hidden="false" customHeight="false" outlineLevel="0" collapsed="false">
      <c r="K1642" s="24" t="n">
        <f aca="false">IF(Search!$B$3="",0,IF($A1642="",N(K1641),IF(ISNUMBER(SEARCH(Search!$B$3,$A1642&amp;"")),N(K1641)+1,N(K1641))))</f>
        <v>0</v>
      </c>
    </row>
    <row r="1643" customFormat="false" ht="15" hidden="false" customHeight="false" outlineLevel="0" collapsed="false">
      <c r="K1643" s="24" t="n">
        <f aca="false">IF(Search!$B$3="",0,IF($A1643="",N(K1642),IF(ISNUMBER(SEARCH(Search!$B$3,$A1643&amp;"")),N(K1642)+1,N(K1642))))</f>
        <v>0</v>
      </c>
    </row>
    <row r="1644" customFormat="false" ht="15" hidden="false" customHeight="false" outlineLevel="0" collapsed="false">
      <c r="K1644" s="24" t="n">
        <f aca="false">IF(Search!$B$3="",0,IF($A1644="",N(K1643),IF(ISNUMBER(SEARCH(Search!$B$3,$A1644&amp;"")),N(K1643)+1,N(K1643))))</f>
        <v>0</v>
      </c>
    </row>
    <row r="1645" customFormat="false" ht="15" hidden="false" customHeight="false" outlineLevel="0" collapsed="false">
      <c r="K1645" s="24" t="n">
        <f aca="false">IF(Search!$B$3="",0,IF($A1645="",N(K1644),IF(ISNUMBER(SEARCH(Search!$B$3,$A1645&amp;"")),N(K1644)+1,N(K1644))))</f>
        <v>0</v>
      </c>
    </row>
    <row r="1646" customFormat="false" ht="15" hidden="false" customHeight="false" outlineLevel="0" collapsed="false">
      <c r="K1646" s="24" t="n">
        <f aca="false">IF(Search!$B$3="",0,IF($A1646="",N(K1645),IF(ISNUMBER(SEARCH(Search!$B$3,$A1646&amp;"")),N(K1645)+1,N(K1645))))</f>
        <v>0</v>
      </c>
    </row>
    <row r="1647" customFormat="false" ht="15" hidden="false" customHeight="false" outlineLevel="0" collapsed="false">
      <c r="K1647" s="24" t="n">
        <f aca="false">IF(Search!$B$3="",0,IF($A1647="",N(K1646),IF(ISNUMBER(SEARCH(Search!$B$3,$A1647&amp;"")),N(K1646)+1,N(K1646))))</f>
        <v>0</v>
      </c>
    </row>
    <row r="1648" customFormat="false" ht="15" hidden="false" customHeight="false" outlineLevel="0" collapsed="false">
      <c r="K1648" s="24" t="n">
        <f aca="false">IF(Search!$B$3="",0,IF($A1648="",N(K1647),IF(ISNUMBER(SEARCH(Search!$B$3,$A1648&amp;"")),N(K1647)+1,N(K1647))))</f>
        <v>0</v>
      </c>
    </row>
    <row r="1649" customFormat="false" ht="15" hidden="false" customHeight="false" outlineLevel="0" collapsed="false">
      <c r="K1649" s="24" t="n">
        <f aca="false">IF(Search!$B$3="",0,IF($A1649="",N(K1648),IF(ISNUMBER(SEARCH(Search!$B$3,$A1649&amp;"")),N(K1648)+1,N(K1648))))</f>
        <v>0</v>
      </c>
    </row>
    <row r="1650" customFormat="false" ht="15" hidden="false" customHeight="false" outlineLevel="0" collapsed="false">
      <c r="K1650" s="24" t="n">
        <f aca="false">IF(Search!$B$3="",0,IF($A1650="",N(K1649),IF(ISNUMBER(SEARCH(Search!$B$3,$A1650&amp;"")),N(K1649)+1,N(K1649))))</f>
        <v>0</v>
      </c>
    </row>
    <row r="1651" customFormat="false" ht="15" hidden="false" customHeight="false" outlineLevel="0" collapsed="false">
      <c r="K1651" s="24" t="n">
        <f aca="false">IF(Search!$B$3="",0,IF($A1651="",N(K1650),IF(ISNUMBER(SEARCH(Search!$B$3,$A1651&amp;"")),N(K1650)+1,N(K1650))))</f>
        <v>0</v>
      </c>
    </row>
    <row r="1652" customFormat="false" ht="15" hidden="false" customHeight="false" outlineLevel="0" collapsed="false">
      <c r="K1652" s="24" t="n">
        <f aca="false">IF(Search!$B$3="",0,IF($A1652="",N(K1651),IF(ISNUMBER(SEARCH(Search!$B$3,$A1652&amp;"")),N(K1651)+1,N(K1651))))</f>
        <v>0</v>
      </c>
    </row>
    <row r="1653" customFormat="false" ht="15" hidden="false" customHeight="false" outlineLevel="0" collapsed="false">
      <c r="K1653" s="24" t="n">
        <f aca="false">IF(Search!$B$3="",0,IF($A1653="",N(K1652),IF(ISNUMBER(SEARCH(Search!$B$3,$A1653&amp;"")),N(K1652)+1,N(K1652))))</f>
        <v>0</v>
      </c>
    </row>
    <row r="1654" customFormat="false" ht="15" hidden="false" customHeight="false" outlineLevel="0" collapsed="false">
      <c r="K1654" s="24" t="n">
        <f aca="false">IF(Search!$B$3="",0,IF($A1654="",N(K1653),IF(ISNUMBER(SEARCH(Search!$B$3,$A1654&amp;"")),N(K1653)+1,N(K1653))))</f>
        <v>0</v>
      </c>
    </row>
    <row r="1655" customFormat="false" ht="15" hidden="false" customHeight="false" outlineLevel="0" collapsed="false">
      <c r="K1655" s="24" t="n">
        <f aca="false">IF(Search!$B$3="",0,IF($A1655="",N(K1654),IF(ISNUMBER(SEARCH(Search!$B$3,$A1655&amp;"")),N(K1654)+1,N(K1654))))</f>
        <v>0</v>
      </c>
    </row>
    <row r="1656" customFormat="false" ht="15" hidden="false" customHeight="false" outlineLevel="0" collapsed="false">
      <c r="K1656" s="24" t="n">
        <f aca="false">IF(Search!$B$3="",0,IF($A1656="",N(K1655),IF(ISNUMBER(SEARCH(Search!$B$3,$A1656&amp;"")),N(K1655)+1,N(K1655))))</f>
        <v>0</v>
      </c>
    </row>
    <row r="1657" customFormat="false" ht="15" hidden="false" customHeight="false" outlineLevel="0" collapsed="false">
      <c r="K1657" s="24" t="n">
        <f aca="false">IF(Search!$B$3="",0,IF($A1657="",N(K1656),IF(ISNUMBER(SEARCH(Search!$B$3,$A1657&amp;"")),N(K1656)+1,N(K1656))))</f>
        <v>0</v>
      </c>
    </row>
    <row r="1658" customFormat="false" ht="15" hidden="false" customHeight="false" outlineLevel="0" collapsed="false">
      <c r="K1658" s="24" t="n">
        <f aca="false">IF(Search!$B$3="",0,IF($A1658="",N(K1657),IF(ISNUMBER(SEARCH(Search!$B$3,$A1658&amp;"")),N(K1657)+1,N(K1657))))</f>
        <v>0</v>
      </c>
    </row>
    <row r="1659" customFormat="false" ht="15" hidden="false" customHeight="false" outlineLevel="0" collapsed="false">
      <c r="K1659" s="24" t="n">
        <f aca="false">IF(Search!$B$3="",0,IF($A1659="",N(K1658),IF(ISNUMBER(SEARCH(Search!$B$3,$A1659&amp;"")),N(K1658)+1,N(K1658))))</f>
        <v>0</v>
      </c>
    </row>
    <row r="1660" customFormat="false" ht="15" hidden="false" customHeight="false" outlineLevel="0" collapsed="false">
      <c r="K1660" s="24" t="n">
        <f aca="false">IF(Search!$B$3="",0,IF($A1660="",N(K1659),IF(ISNUMBER(SEARCH(Search!$B$3,$A1660&amp;"")),N(K1659)+1,N(K1659))))</f>
        <v>0</v>
      </c>
    </row>
    <row r="1661" customFormat="false" ht="15" hidden="false" customHeight="false" outlineLevel="0" collapsed="false">
      <c r="K1661" s="24" t="n">
        <f aca="false">IF(Search!$B$3="",0,IF($A1661="",N(K1660),IF(ISNUMBER(SEARCH(Search!$B$3,$A1661&amp;"")),N(K1660)+1,N(K1660))))</f>
        <v>0</v>
      </c>
    </row>
    <row r="1662" customFormat="false" ht="15" hidden="false" customHeight="false" outlineLevel="0" collapsed="false">
      <c r="K1662" s="24" t="n">
        <f aca="false">IF(Search!$B$3="",0,IF($A1662="",N(K1661),IF(ISNUMBER(SEARCH(Search!$B$3,$A1662&amp;"")),N(K1661)+1,N(K1661))))</f>
        <v>0</v>
      </c>
    </row>
    <row r="1663" customFormat="false" ht="15" hidden="false" customHeight="false" outlineLevel="0" collapsed="false">
      <c r="K1663" s="24" t="n">
        <f aca="false">IF(Search!$B$3="",0,IF($A1663="",N(K1662),IF(ISNUMBER(SEARCH(Search!$B$3,$A1663&amp;"")),N(K1662)+1,N(K1662))))</f>
        <v>0</v>
      </c>
    </row>
    <row r="1664" customFormat="false" ht="15" hidden="false" customHeight="false" outlineLevel="0" collapsed="false">
      <c r="K1664" s="24" t="n">
        <f aca="false">IF(Search!$B$3="",0,IF($A1664="",N(K1663),IF(ISNUMBER(SEARCH(Search!$B$3,$A1664&amp;"")),N(K1663)+1,N(K1663))))</f>
        <v>0</v>
      </c>
    </row>
    <row r="1665" customFormat="false" ht="15" hidden="false" customHeight="false" outlineLevel="0" collapsed="false">
      <c r="K1665" s="24" t="n">
        <f aca="false">IF(Search!$B$3="",0,IF($A1665="",N(K1664),IF(ISNUMBER(SEARCH(Search!$B$3,$A1665&amp;"")),N(K1664)+1,N(K1664))))</f>
        <v>0</v>
      </c>
    </row>
    <row r="1666" customFormat="false" ht="15" hidden="false" customHeight="false" outlineLevel="0" collapsed="false">
      <c r="K1666" s="24" t="n">
        <f aca="false">IF(Search!$B$3="",0,IF($A1666="",N(K1665),IF(ISNUMBER(SEARCH(Search!$B$3,$A1666&amp;"")),N(K1665)+1,N(K1665))))</f>
        <v>0</v>
      </c>
    </row>
    <row r="1667" customFormat="false" ht="15" hidden="false" customHeight="false" outlineLevel="0" collapsed="false">
      <c r="K1667" s="24" t="n">
        <f aca="false">IF(Search!$B$3="",0,IF($A1667="",N(K1666),IF(ISNUMBER(SEARCH(Search!$B$3,$A1667&amp;"")),N(K1666)+1,N(K1666))))</f>
        <v>0</v>
      </c>
    </row>
    <row r="1668" customFormat="false" ht="15" hidden="false" customHeight="false" outlineLevel="0" collapsed="false">
      <c r="K1668" s="24" t="n">
        <f aca="false">IF(Search!$B$3="",0,IF($A1668="",N(K1667),IF(ISNUMBER(SEARCH(Search!$B$3,$A1668&amp;"")),N(K1667)+1,N(K1667))))</f>
        <v>0</v>
      </c>
    </row>
    <row r="1669" customFormat="false" ht="15" hidden="false" customHeight="false" outlineLevel="0" collapsed="false">
      <c r="K1669" s="24" t="n">
        <f aca="false">IF(Search!$B$3="",0,IF($A1669="",N(K1668),IF(ISNUMBER(SEARCH(Search!$B$3,$A1669&amp;"")),N(K1668)+1,N(K1668))))</f>
        <v>0</v>
      </c>
    </row>
    <row r="1670" customFormat="false" ht="15" hidden="false" customHeight="false" outlineLevel="0" collapsed="false">
      <c r="K1670" s="24" t="n">
        <f aca="false">IF(Search!$B$3="",0,IF($A1670="",N(K1669),IF(ISNUMBER(SEARCH(Search!$B$3,$A1670&amp;"")),N(K1669)+1,N(K1669))))</f>
        <v>0</v>
      </c>
    </row>
    <row r="1671" customFormat="false" ht="15" hidden="false" customHeight="false" outlineLevel="0" collapsed="false">
      <c r="K1671" s="24" t="n">
        <f aca="false">IF(Search!$B$3="",0,IF($A1671="",N(K1670),IF(ISNUMBER(SEARCH(Search!$B$3,$A1671&amp;"")),N(K1670)+1,N(K1670))))</f>
        <v>0</v>
      </c>
    </row>
    <row r="1672" customFormat="false" ht="15" hidden="false" customHeight="false" outlineLevel="0" collapsed="false">
      <c r="K1672" s="24" t="n">
        <f aca="false">IF(Search!$B$3="",0,IF($A1672="",N(K1671),IF(ISNUMBER(SEARCH(Search!$B$3,$A1672&amp;"")),N(K1671)+1,N(K1671))))</f>
        <v>0</v>
      </c>
    </row>
    <row r="1673" customFormat="false" ht="15" hidden="false" customHeight="false" outlineLevel="0" collapsed="false">
      <c r="K1673" s="24" t="n">
        <f aca="false">IF(Search!$B$3="",0,IF($A1673="",N(K1672),IF(ISNUMBER(SEARCH(Search!$B$3,$A1673&amp;"")),N(K1672)+1,N(K1672))))</f>
        <v>0</v>
      </c>
    </row>
    <row r="1674" customFormat="false" ht="15" hidden="false" customHeight="false" outlineLevel="0" collapsed="false">
      <c r="K1674" s="24" t="n">
        <f aca="false">IF(Search!$B$3="",0,IF($A1674="",N(K1673),IF(ISNUMBER(SEARCH(Search!$B$3,$A1674&amp;"")),N(K1673)+1,N(K1673))))</f>
        <v>0</v>
      </c>
    </row>
    <row r="1675" customFormat="false" ht="15" hidden="false" customHeight="false" outlineLevel="0" collapsed="false">
      <c r="K1675" s="24" t="n">
        <f aca="false">IF(Search!$B$3="",0,IF($A1675="",N(K1674),IF(ISNUMBER(SEARCH(Search!$B$3,$A1675&amp;"")),N(K1674)+1,N(K1674))))</f>
        <v>0</v>
      </c>
    </row>
    <row r="1676" customFormat="false" ht="15" hidden="false" customHeight="false" outlineLevel="0" collapsed="false">
      <c r="K1676" s="24" t="n">
        <f aca="false">IF(Search!$B$3="",0,IF($A1676="",N(K1675),IF(ISNUMBER(SEARCH(Search!$B$3,$A1676&amp;"")),N(K1675)+1,N(K1675))))</f>
        <v>0</v>
      </c>
    </row>
    <row r="1677" customFormat="false" ht="15" hidden="false" customHeight="false" outlineLevel="0" collapsed="false">
      <c r="K1677" s="24" t="n">
        <f aca="false">IF(Search!$B$3="",0,IF($A1677="",N(K1676),IF(ISNUMBER(SEARCH(Search!$B$3,$A1677&amp;"")),N(K1676)+1,N(K1676))))</f>
        <v>0</v>
      </c>
    </row>
    <row r="1678" customFormat="false" ht="15" hidden="false" customHeight="false" outlineLevel="0" collapsed="false">
      <c r="K1678" s="24" t="n">
        <f aca="false">IF(Search!$B$3="",0,IF($A1678="",N(K1677),IF(ISNUMBER(SEARCH(Search!$B$3,$A1678&amp;"")),N(K1677)+1,N(K1677))))</f>
        <v>0</v>
      </c>
    </row>
    <row r="1679" customFormat="false" ht="15" hidden="false" customHeight="false" outlineLevel="0" collapsed="false">
      <c r="K1679" s="24" t="n">
        <f aca="false">IF(Search!$B$3="",0,IF($A1679="",N(K1678),IF(ISNUMBER(SEARCH(Search!$B$3,$A1679&amp;"")),N(K1678)+1,N(K1678))))</f>
        <v>0</v>
      </c>
    </row>
    <row r="1680" customFormat="false" ht="15" hidden="false" customHeight="false" outlineLevel="0" collapsed="false">
      <c r="K1680" s="24" t="n">
        <f aca="false">IF(Search!$B$3="",0,IF($A1680="",N(K1679),IF(ISNUMBER(SEARCH(Search!$B$3,$A1680&amp;"")),N(K1679)+1,N(K1679))))</f>
        <v>0</v>
      </c>
    </row>
    <row r="1681" customFormat="false" ht="15" hidden="false" customHeight="false" outlineLevel="0" collapsed="false">
      <c r="K1681" s="24" t="n">
        <f aca="false">IF(Search!$B$3="",0,IF($A1681="",N(K1680),IF(ISNUMBER(SEARCH(Search!$B$3,$A1681&amp;"")),N(K1680)+1,N(K1680))))</f>
        <v>0</v>
      </c>
    </row>
    <row r="1682" customFormat="false" ht="15" hidden="false" customHeight="false" outlineLevel="0" collapsed="false">
      <c r="K1682" s="24" t="n">
        <f aca="false">IF(Search!$B$3="",0,IF($A1682="",N(K1681),IF(ISNUMBER(SEARCH(Search!$B$3,$A1682&amp;"")),N(K1681)+1,N(K1681))))</f>
        <v>0</v>
      </c>
    </row>
    <row r="1683" customFormat="false" ht="15" hidden="false" customHeight="false" outlineLevel="0" collapsed="false">
      <c r="K1683" s="24" t="n">
        <f aca="false">IF(Search!$B$3="",0,IF($A1683="",N(K1682),IF(ISNUMBER(SEARCH(Search!$B$3,$A1683&amp;"")),N(K1682)+1,N(K1682))))</f>
        <v>0</v>
      </c>
    </row>
    <row r="1684" customFormat="false" ht="15" hidden="false" customHeight="false" outlineLevel="0" collapsed="false">
      <c r="K1684" s="24" t="n">
        <f aca="false">IF(Search!$B$3="",0,IF($A1684="",N(K1683),IF(ISNUMBER(SEARCH(Search!$B$3,$A1684&amp;"")),N(K1683)+1,N(K1683))))</f>
        <v>0</v>
      </c>
    </row>
    <row r="1685" customFormat="false" ht="15" hidden="false" customHeight="false" outlineLevel="0" collapsed="false">
      <c r="K1685" s="24" t="n">
        <f aca="false">IF(Search!$B$3="",0,IF($A1685="",N(K1684),IF(ISNUMBER(SEARCH(Search!$B$3,$A1685&amp;"")),N(K1684)+1,N(K1684))))</f>
        <v>0</v>
      </c>
    </row>
    <row r="1686" customFormat="false" ht="15" hidden="false" customHeight="false" outlineLevel="0" collapsed="false">
      <c r="K1686" s="24" t="n">
        <f aca="false">IF(Search!$B$3="",0,IF($A1686="",N(K1685),IF(ISNUMBER(SEARCH(Search!$B$3,$A1686&amp;"")),N(K1685)+1,N(K1685))))</f>
        <v>0</v>
      </c>
    </row>
    <row r="1687" customFormat="false" ht="15" hidden="false" customHeight="false" outlineLevel="0" collapsed="false">
      <c r="K1687" s="24" t="n">
        <f aca="false">IF(Search!$B$3="",0,IF($A1687="",N(K1686),IF(ISNUMBER(SEARCH(Search!$B$3,$A1687&amp;"")),N(K1686)+1,N(K1686))))</f>
        <v>0</v>
      </c>
    </row>
    <row r="1688" customFormat="false" ht="15" hidden="false" customHeight="false" outlineLevel="0" collapsed="false">
      <c r="K1688" s="24" t="n">
        <f aca="false">IF(Search!$B$3="",0,IF($A1688="",N(K1687),IF(ISNUMBER(SEARCH(Search!$B$3,$A1688&amp;"")),N(K1687)+1,N(K1687))))</f>
        <v>0</v>
      </c>
    </row>
    <row r="1689" customFormat="false" ht="15" hidden="false" customHeight="false" outlineLevel="0" collapsed="false">
      <c r="K1689" s="24" t="n">
        <f aca="false">IF(Search!$B$3="",0,IF($A1689="",N(K1688),IF(ISNUMBER(SEARCH(Search!$B$3,$A1689&amp;"")),N(K1688)+1,N(K1688))))</f>
        <v>0</v>
      </c>
    </row>
    <row r="1690" customFormat="false" ht="15" hidden="false" customHeight="false" outlineLevel="0" collapsed="false">
      <c r="K1690" s="24" t="n">
        <f aca="false">IF(Search!$B$3="",0,IF($A1690="",N(K1689),IF(ISNUMBER(SEARCH(Search!$B$3,$A1690&amp;"")),N(K1689)+1,N(K1689))))</f>
        <v>0</v>
      </c>
    </row>
    <row r="1691" customFormat="false" ht="15" hidden="false" customHeight="false" outlineLevel="0" collapsed="false">
      <c r="K1691" s="24" t="n">
        <f aca="false">IF(Search!$B$3="",0,IF($A1691="",N(K1690),IF(ISNUMBER(SEARCH(Search!$B$3,$A1691&amp;"")),N(K1690)+1,N(K1690))))</f>
        <v>0</v>
      </c>
    </row>
    <row r="1692" customFormat="false" ht="15" hidden="false" customHeight="false" outlineLevel="0" collapsed="false">
      <c r="K1692" s="24" t="n">
        <f aca="false">IF(Search!$B$3="",0,IF($A1692="",N(K1691),IF(ISNUMBER(SEARCH(Search!$B$3,$A1692&amp;"")),N(K1691)+1,N(K1691))))</f>
        <v>0</v>
      </c>
    </row>
    <row r="1693" customFormat="false" ht="15" hidden="false" customHeight="false" outlineLevel="0" collapsed="false">
      <c r="K1693" s="24" t="n">
        <f aca="false">IF(Search!$B$3="",0,IF($A1693="",N(K1692),IF(ISNUMBER(SEARCH(Search!$B$3,$A1693&amp;"")),N(K1692)+1,N(K1692))))</f>
        <v>0</v>
      </c>
    </row>
    <row r="1694" customFormat="false" ht="15" hidden="false" customHeight="false" outlineLevel="0" collapsed="false">
      <c r="K1694" s="24" t="n">
        <f aca="false">IF(Search!$B$3="",0,IF($A1694="",N(K1693),IF(ISNUMBER(SEARCH(Search!$B$3,$A1694&amp;"")),N(K1693)+1,N(K1693))))</f>
        <v>0</v>
      </c>
    </row>
    <row r="1695" customFormat="false" ht="15" hidden="false" customHeight="false" outlineLevel="0" collapsed="false">
      <c r="K1695" s="24" t="n">
        <f aca="false">IF(Search!$B$3="",0,IF($A1695="",N(K1694),IF(ISNUMBER(SEARCH(Search!$B$3,$A1695&amp;"")),N(K1694)+1,N(K1694))))</f>
        <v>0</v>
      </c>
    </row>
    <row r="1696" customFormat="false" ht="15" hidden="false" customHeight="false" outlineLevel="0" collapsed="false">
      <c r="K1696" s="24" t="n">
        <f aca="false">IF(Search!$B$3="",0,IF($A1696="",N(K1695),IF(ISNUMBER(SEARCH(Search!$B$3,$A1696&amp;"")),N(K1695)+1,N(K1695))))</f>
        <v>0</v>
      </c>
    </row>
    <row r="1697" customFormat="false" ht="15" hidden="false" customHeight="false" outlineLevel="0" collapsed="false">
      <c r="K1697" s="24" t="n">
        <f aca="false">IF(Search!$B$3="",0,IF($A1697="",N(K1696),IF(ISNUMBER(SEARCH(Search!$B$3,$A1697&amp;"")),N(K1696)+1,N(K1696))))</f>
        <v>0</v>
      </c>
    </row>
    <row r="1698" customFormat="false" ht="15" hidden="false" customHeight="false" outlineLevel="0" collapsed="false">
      <c r="K1698" s="24" t="n">
        <f aca="false">IF(Search!$B$3="",0,IF($A1698="",N(K1697),IF(ISNUMBER(SEARCH(Search!$B$3,$A1698&amp;"")),N(K1697)+1,N(K1697))))</f>
        <v>0</v>
      </c>
    </row>
    <row r="1699" customFormat="false" ht="15" hidden="false" customHeight="false" outlineLevel="0" collapsed="false">
      <c r="K1699" s="24" t="n">
        <f aca="false">IF(Search!$B$3="",0,IF($A1699="",N(K1698),IF(ISNUMBER(SEARCH(Search!$B$3,$A1699&amp;"")),N(K1698)+1,N(K1698))))</f>
        <v>0</v>
      </c>
    </row>
    <row r="1700" customFormat="false" ht="15" hidden="false" customHeight="false" outlineLevel="0" collapsed="false">
      <c r="K1700" s="24" t="n">
        <f aca="false">IF(Search!$B$3="",0,IF($A1700="",N(K1699),IF(ISNUMBER(SEARCH(Search!$B$3,$A1700&amp;"")),N(K1699)+1,N(K1699))))</f>
        <v>0</v>
      </c>
    </row>
    <row r="1701" customFormat="false" ht="15" hidden="false" customHeight="false" outlineLevel="0" collapsed="false">
      <c r="K1701" s="24" t="n">
        <f aca="false">IF(Search!$B$3="",0,IF($A1701="",N(K1700),IF(ISNUMBER(SEARCH(Search!$B$3,$A1701&amp;"")),N(K1700)+1,N(K1700))))</f>
        <v>0</v>
      </c>
    </row>
    <row r="1702" customFormat="false" ht="15" hidden="false" customHeight="false" outlineLevel="0" collapsed="false">
      <c r="K1702" s="24" t="n">
        <f aca="false">IF(Search!$B$3="",0,IF($A1702="",N(K1701),IF(ISNUMBER(SEARCH(Search!$B$3,$A1702&amp;"")),N(K1701)+1,N(K1701))))</f>
        <v>0</v>
      </c>
    </row>
    <row r="1703" customFormat="false" ht="15" hidden="false" customHeight="false" outlineLevel="0" collapsed="false">
      <c r="K1703" s="24" t="n">
        <f aca="false">IF(Search!$B$3="",0,IF($A1703="",N(K1702),IF(ISNUMBER(SEARCH(Search!$B$3,$A1703&amp;"")),N(K1702)+1,N(K1702))))</f>
        <v>0</v>
      </c>
    </row>
    <row r="1704" customFormat="false" ht="15" hidden="false" customHeight="false" outlineLevel="0" collapsed="false">
      <c r="K1704" s="24" t="n">
        <f aca="false">IF(Search!$B$3="",0,IF($A1704="",N(K1703),IF(ISNUMBER(SEARCH(Search!$B$3,$A1704&amp;"")),N(K1703)+1,N(K1703))))</f>
        <v>0</v>
      </c>
    </row>
    <row r="1705" customFormat="false" ht="15" hidden="false" customHeight="false" outlineLevel="0" collapsed="false">
      <c r="K1705" s="24" t="n">
        <f aca="false">IF(Search!$B$3="",0,IF($A1705="",N(K1704),IF(ISNUMBER(SEARCH(Search!$B$3,$A1705&amp;"")),N(K1704)+1,N(K1704))))</f>
        <v>0</v>
      </c>
    </row>
    <row r="1706" customFormat="false" ht="15" hidden="false" customHeight="false" outlineLevel="0" collapsed="false">
      <c r="K1706" s="24" t="n">
        <f aca="false">IF(Search!$B$3="",0,IF($A1706="",N(K1705),IF(ISNUMBER(SEARCH(Search!$B$3,$A1706&amp;"")),N(K1705)+1,N(K1705))))</f>
        <v>0</v>
      </c>
    </row>
    <row r="1707" customFormat="false" ht="15" hidden="false" customHeight="false" outlineLevel="0" collapsed="false">
      <c r="K1707" s="24" t="n">
        <f aca="false">IF(Search!$B$3="",0,IF($A1707="",N(K1706),IF(ISNUMBER(SEARCH(Search!$B$3,$A1707&amp;"")),N(K1706)+1,N(K1706))))</f>
        <v>0</v>
      </c>
    </row>
    <row r="1708" customFormat="false" ht="15" hidden="false" customHeight="false" outlineLevel="0" collapsed="false">
      <c r="K1708" s="24" t="n">
        <f aca="false">IF(Search!$B$3="",0,IF($A1708="",N(K1707),IF(ISNUMBER(SEARCH(Search!$B$3,$A1708&amp;"")),N(K1707)+1,N(K1707))))</f>
        <v>0</v>
      </c>
    </row>
    <row r="1709" customFormat="false" ht="15" hidden="false" customHeight="false" outlineLevel="0" collapsed="false">
      <c r="K1709" s="24" t="n">
        <f aca="false">IF(Search!$B$3="",0,IF($A1709="",N(K1708),IF(ISNUMBER(SEARCH(Search!$B$3,$A1709&amp;"")),N(K1708)+1,N(K1708))))</f>
        <v>0</v>
      </c>
    </row>
    <row r="1710" customFormat="false" ht="15" hidden="false" customHeight="false" outlineLevel="0" collapsed="false">
      <c r="K1710" s="24" t="n">
        <f aca="false">IF(Search!$B$3="",0,IF($A1710="",N(K1709),IF(ISNUMBER(SEARCH(Search!$B$3,$A1710&amp;"")),N(K1709)+1,N(K1709))))</f>
        <v>0</v>
      </c>
    </row>
    <row r="1711" customFormat="false" ht="15" hidden="false" customHeight="false" outlineLevel="0" collapsed="false">
      <c r="K1711" s="24" t="n">
        <f aca="false">IF(Search!$B$3="",0,IF($A1711="",N(K1710),IF(ISNUMBER(SEARCH(Search!$B$3,$A1711&amp;"")),N(K1710)+1,N(K1710))))</f>
        <v>0</v>
      </c>
    </row>
    <row r="1712" customFormat="false" ht="15" hidden="false" customHeight="false" outlineLevel="0" collapsed="false">
      <c r="K1712" s="24" t="n">
        <f aca="false">IF(Search!$B$3="",0,IF($A1712="",N(K1711),IF(ISNUMBER(SEARCH(Search!$B$3,$A1712&amp;"")),N(K1711)+1,N(K1711))))</f>
        <v>0</v>
      </c>
    </row>
    <row r="1713" customFormat="false" ht="15" hidden="false" customHeight="false" outlineLevel="0" collapsed="false">
      <c r="K1713" s="24" t="n">
        <f aca="false">IF(Search!$B$3="",0,IF($A1713="",N(K1712),IF(ISNUMBER(SEARCH(Search!$B$3,$A1713&amp;"")),N(K1712)+1,N(K1712))))</f>
        <v>0</v>
      </c>
    </row>
    <row r="1714" customFormat="false" ht="15" hidden="false" customHeight="false" outlineLevel="0" collapsed="false">
      <c r="K1714" s="24" t="n">
        <f aca="false">IF(Search!$B$3="",0,IF($A1714="",N(K1713),IF(ISNUMBER(SEARCH(Search!$B$3,$A1714&amp;"")),N(K1713)+1,N(K1713))))</f>
        <v>0</v>
      </c>
    </row>
    <row r="1715" customFormat="false" ht="15" hidden="false" customHeight="false" outlineLevel="0" collapsed="false">
      <c r="K1715" s="24" t="n">
        <f aca="false">IF(Search!$B$3="",0,IF($A1715="",N(K1714),IF(ISNUMBER(SEARCH(Search!$B$3,$A1715&amp;"")),N(K1714)+1,N(K1714))))</f>
        <v>0</v>
      </c>
    </row>
    <row r="1716" customFormat="false" ht="15" hidden="false" customHeight="false" outlineLevel="0" collapsed="false">
      <c r="K1716" s="24" t="n">
        <f aca="false">IF(Search!$B$3="",0,IF($A1716="",N(K1715),IF(ISNUMBER(SEARCH(Search!$B$3,$A1716&amp;"")),N(K1715)+1,N(K1715))))</f>
        <v>0</v>
      </c>
    </row>
    <row r="1717" customFormat="false" ht="15" hidden="false" customHeight="false" outlineLevel="0" collapsed="false">
      <c r="K1717" s="24" t="n">
        <f aca="false">IF(Search!$B$3="",0,IF($A1717="",N(K1716),IF(ISNUMBER(SEARCH(Search!$B$3,$A1717&amp;"")),N(K1716)+1,N(K1716))))</f>
        <v>0</v>
      </c>
    </row>
    <row r="1718" customFormat="false" ht="15" hidden="false" customHeight="false" outlineLevel="0" collapsed="false">
      <c r="K1718" s="24" t="n">
        <f aca="false">IF(Search!$B$3="",0,IF($A1718="",N(K1717),IF(ISNUMBER(SEARCH(Search!$B$3,$A1718&amp;"")),N(K1717)+1,N(K1717))))</f>
        <v>0</v>
      </c>
    </row>
    <row r="1719" customFormat="false" ht="15" hidden="false" customHeight="false" outlineLevel="0" collapsed="false">
      <c r="K1719" s="24" t="n">
        <f aca="false">IF(Search!$B$3="",0,IF($A1719="",N(K1718),IF(ISNUMBER(SEARCH(Search!$B$3,$A1719&amp;"")),N(K1718)+1,N(K1718))))</f>
        <v>0</v>
      </c>
    </row>
    <row r="1720" customFormat="false" ht="15" hidden="false" customHeight="false" outlineLevel="0" collapsed="false">
      <c r="K1720" s="24" t="n">
        <f aca="false">IF(Search!$B$3="",0,IF($A1720="",N(K1719),IF(ISNUMBER(SEARCH(Search!$B$3,$A1720&amp;"")),N(K1719)+1,N(K1719))))</f>
        <v>0</v>
      </c>
    </row>
    <row r="1721" customFormat="false" ht="15" hidden="false" customHeight="false" outlineLevel="0" collapsed="false">
      <c r="K1721" s="24" t="n">
        <f aca="false">IF(Search!$B$3="",0,IF($A1721="",N(K1720),IF(ISNUMBER(SEARCH(Search!$B$3,$A1721&amp;"")),N(K1720)+1,N(K1720))))</f>
        <v>0</v>
      </c>
    </row>
    <row r="1722" customFormat="false" ht="15" hidden="false" customHeight="false" outlineLevel="0" collapsed="false">
      <c r="K1722" s="24" t="n">
        <f aca="false">IF(Search!$B$3="",0,IF($A1722="",N(K1721),IF(ISNUMBER(SEARCH(Search!$B$3,$A1722&amp;"")),N(K1721)+1,N(K1721))))</f>
        <v>0</v>
      </c>
    </row>
    <row r="1723" customFormat="false" ht="15" hidden="false" customHeight="false" outlineLevel="0" collapsed="false">
      <c r="K1723" s="24" t="n">
        <f aca="false">IF(Search!$B$3="",0,IF($A1723="",N(K1722),IF(ISNUMBER(SEARCH(Search!$B$3,$A1723&amp;"")),N(K1722)+1,N(K1722))))</f>
        <v>0</v>
      </c>
    </row>
    <row r="1724" customFormat="false" ht="15" hidden="false" customHeight="false" outlineLevel="0" collapsed="false">
      <c r="K1724" s="24" t="n">
        <f aca="false">IF(Search!$B$3="",0,IF($A1724="",N(K1723),IF(ISNUMBER(SEARCH(Search!$B$3,$A1724&amp;"")),N(K1723)+1,N(K1723))))</f>
        <v>0</v>
      </c>
    </row>
    <row r="1725" customFormat="false" ht="15" hidden="false" customHeight="false" outlineLevel="0" collapsed="false">
      <c r="K1725" s="24" t="n">
        <f aca="false">IF(Search!$B$3="",0,IF($A1725="",N(K1724),IF(ISNUMBER(SEARCH(Search!$B$3,$A1725&amp;"")),N(K1724)+1,N(K1724))))</f>
        <v>0</v>
      </c>
    </row>
    <row r="1726" customFormat="false" ht="15" hidden="false" customHeight="false" outlineLevel="0" collapsed="false">
      <c r="K1726" s="24" t="n">
        <f aca="false">IF(Search!$B$3="",0,IF($A1726="",N(K1725),IF(ISNUMBER(SEARCH(Search!$B$3,$A1726&amp;"")),N(K1725)+1,N(K1725))))</f>
        <v>0</v>
      </c>
    </row>
    <row r="1727" customFormat="false" ht="15" hidden="false" customHeight="false" outlineLevel="0" collapsed="false">
      <c r="K1727" s="24" t="n">
        <f aca="false">IF(Search!$B$3="",0,IF($A1727="",N(K1726),IF(ISNUMBER(SEARCH(Search!$B$3,$A1727&amp;"")),N(K1726)+1,N(K1726))))</f>
        <v>0</v>
      </c>
    </row>
    <row r="1728" customFormat="false" ht="15" hidden="false" customHeight="false" outlineLevel="0" collapsed="false">
      <c r="K1728" s="24" t="n">
        <f aca="false">IF(Search!$B$3="",0,IF($A1728="",N(K1727),IF(ISNUMBER(SEARCH(Search!$B$3,$A1728&amp;"")),N(K1727)+1,N(K1727))))</f>
        <v>0</v>
      </c>
    </row>
    <row r="1729" customFormat="false" ht="15" hidden="false" customHeight="false" outlineLevel="0" collapsed="false">
      <c r="K1729" s="24" t="n">
        <f aca="false">IF(Search!$B$3="",0,IF($A1729="",N(K1728),IF(ISNUMBER(SEARCH(Search!$B$3,$A1729&amp;"")),N(K1728)+1,N(K1728))))</f>
        <v>0</v>
      </c>
    </row>
    <row r="1730" customFormat="false" ht="15" hidden="false" customHeight="false" outlineLevel="0" collapsed="false">
      <c r="K1730" s="24" t="n">
        <f aca="false">IF(Search!$B$3="",0,IF($A1730="",N(K1729),IF(ISNUMBER(SEARCH(Search!$B$3,$A1730&amp;"")),N(K1729)+1,N(K1729))))</f>
        <v>0</v>
      </c>
    </row>
    <row r="1731" customFormat="false" ht="15" hidden="false" customHeight="false" outlineLevel="0" collapsed="false">
      <c r="K1731" s="24" t="n">
        <f aca="false">IF(Search!$B$3="",0,IF($A1731="",N(K1730),IF(ISNUMBER(SEARCH(Search!$B$3,$A1731&amp;"")),N(K1730)+1,N(K1730))))</f>
        <v>0</v>
      </c>
    </row>
    <row r="1732" customFormat="false" ht="15" hidden="false" customHeight="false" outlineLevel="0" collapsed="false">
      <c r="K1732" s="24" t="n">
        <f aca="false">IF(Search!$B$3="",0,IF($A1732="",N(K1731),IF(ISNUMBER(SEARCH(Search!$B$3,$A1732&amp;"")),N(K1731)+1,N(K1731))))</f>
        <v>0</v>
      </c>
    </row>
    <row r="1733" customFormat="false" ht="15" hidden="false" customHeight="false" outlineLevel="0" collapsed="false">
      <c r="K1733" s="24" t="n">
        <f aca="false">IF(Search!$B$3="",0,IF($A1733="",N(K1732),IF(ISNUMBER(SEARCH(Search!$B$3,$A1733&amp;"")),N(K1732)+1,N(K1732))))</f>
        <v>0</v>
      </c>
    </row>
    <row r="1734" customFormat="false" ht="15" hidden="false" customHeight="false" outlineLevel="0" collapsed="false">
      <c r="K1734" s="24" t="n">
        <f aca="false">IF(Search!$B$3="",0,IF($A1734="",N(K1733),IF(ISNUMBER(SEARCH(Search!$B$3,$A1734&amp;"")),N(K1733)+1,N(K1733))))</f>
        <v>0</v>
      </c>
    </row>
    <row r="1735" customFormat="false" ht="15" hidden="false" customHeight="false" outlineLevel="0" collapsed="false">
      <c r="K1735" s="24" t="n">
        <f aca="false">IF(Search!$B$3="",0,IF($A1735="",N(K1734),IF(ISNUMBER(SEARCH(Search!$B$3,$A1735&amp;"")),N(K1734)+1,N(K1734))))</f>
        <v>0</v>
      </c>
    </row>
    <row r="1736" customFormat="false" ht="15" hidden="false" customHeight="false" outlineLevel="0" collapsed="false">
      <c r="K1736" s="24" t="n">
        <f aca="false">IF(Search!$B$3="",0,IF($A1736="",N(K1735),IF(ISNUMBER(SEARCH(Search!$B$3,$A1736&amp;"")),N(K1735)+1,N(K1735))))</f>
        <v>0</v>
      </c>
    </row>
    <row r="1737" customFormat="false" ht="15" hidden="false" customHeight="false" outlineLevel="0" collapsed="false">
      <c r="K1737" s="24" t="n">
        <f aca="false">IF(Search!$B$3="",0,IF($A1737="",N(K1736),IF(ISNUMBER(SEARCH(Search!$B$3,$A1737&amp;"")),N(K1736)+1,N(K1736))))</f>
        <v>0</v>
      </c>
    </row>
    <row r="1738" customFormat="false" ht="15" hidden="false" customHeight="false" outlineLevel="0" collapsed="false">
      <c r="K1738" s="24" t="n">
        <f aca="false">IF(Search!$B$3="",0,IF($A1738="",N(K1737),IF(ISNUMBER(SEARCH(Search!$B$3,$A1738&amp;"")),N(K1737)+1,N(K1737))))</f>
        <v>0</v>
      </c>
    </row>
    <row r="1739" customFormat="false" ht="15" hidden="false" customHeight="false" outlineLevel="0" collapsed="false">
      <c r="K1739" s="24" t="n">
        <f aca="false">IF(Search!$B$3="",0,IF($A1739="",N(K1738),IF(ISNUMBER(SEARCH(Search!$B$3,$A1739&amp;"")),N(K1738)+1,N(K1738))))</f>
        <v>0</v>
      </c>
    </row>
    <row r="1740" customFormat="false" ht="15" hidden="false" customHeight="false" outlineLevel="0" collapsed="false">
      <c r="K1740" s="24" t="n">
        <f aca="false">IF(Search!$B$3="",0,IF($A1740="",N(K1739),IF(ISNUMBER(SEARCH(Search!$B$3,$A1740&amp;"")),N(K1739)+1,N(K1739))))</f>
        <v>0</v>
      </c>
    </row>
    <row r="1741" customFormat="false" ht="15" hidden="false" customHeight="false" outlineLevel="0" collapsed="false">
      <c r="K1741" s="24" t="n">
        <f aca="false">IF(Search!$B$3="",0,IF($A1741="",N(K1740),IF(ISNUMBER(SEARCH(Search!$B$3,$A1741&amp;"")),N(K1740)+1,N(K1740))))</f>
        <v>0</v>
      </c>
    </row>
    <row r="1742" customFormat="false" ht="15" hidden="false" customHeight="false" outlineLevel="0" collapsed="false">
      <c r="K1742" s="24" t="n">
        <f aca="false">IF(Search!$B$3="",0,IF($A1742="",N(K1741),IF(ISNUMBER(SEARCH(Search!$B$3,$A1742&amp;"")),N(K1741)+1,N(K1741))))</f>
        <v>0</v>
      </c>
    </row>
    <row r="1743" customFormat="false" ht="15" hidden="false" customHeight="false" outlineLevel="0" collapsed="false">
      <c r="K1743" s="24" t="n">
        <f aca="false">IF(Search!$B$3="",0,IF($A1743="",N(K1742),IF(ISNUMBER(SEARCH(Search!$B$3,$A1743&amp;"")),N(K1742)+1,N(K1742))))</f>
        <v>0</v>
      </c>
    </row>
    <row r="1744" customFormat="false" ht="15" hidden="false" customHeight="false" outlineLevel="0" collapsed="false">
      <c r="K1744" s="24" t="n">
        <f aca="false">IF(Search!$B$3="",0,IF($A1744="",N(K1743),IF(ISNUMBER(SEARCH(Search!$B$3,$A1744&amp;"")),N(K1743)+1,N(K1743))))</f>
        <v>0</v>
      </c>
    </row>
    <row r="1745" customFormat="false" ht="15" hidden="false" customHeight="false" outlineLevel="0" collapsed="false">
      <c r="K1745" s="24" t="n">
        <f aca="false">IF(Search!$B$3="",0,IF($A1745="",N(K1744),IF(ISNUMBER(SEARCH(Search!$B$3,$A1745&amp;"")),N(K1744)+1,N(K1744))))</f>
        <v>0</v>
      </c>
    </row>
    <row r="1746" customFormat="false" ht="15" hidden="false" customHeight="false" outlineLevel="0" collapsed="false">
      <c r="K1746" s="24" t="n">
        <f aca="false">IF(Search!$B$3="",0,IF($A1746="",N(K1745),IF(ISNUMBER(SEARCH(Search!$B$3,$A1746&amp;"")),N(K1745)+1,N(K1745))))</f>
        <v>0</v>
      </c>
    </row>
    <row r="1747" customFormat="false" ht="15" hidden="false" customHeight="false" outlineLevel="0" collapsed="false">
      <c r="K1747" s="24" t="n">
        <f aca="false">IF(Search!$B$3="",0,IF($A1747="",N(K1746),IF(ISNUMBER(SEARCH(Search!$B$3,$A1747&amp;"")),N(K1746)+1,N(K1746))))</f>
        <v>0</v>
      </c>
    </row>
    <row r="1748" customFormat="false" ht="15" hidden="false" customHeight="false" outlineLevel="0" collapsed="false">
      <c r="K1748" s="24" t="n">
        <f aca="false">IF(Search!$B$3="",0,IF($A1748="",N(K1747),IF(ISNUMBER(SEARCH(Search!$B$3,$A1748&amp;"")),N(K1747)+1,N(K1747))))</f>
        <v>0</v>
      </c>
    </row>
    <row r="1749" customFormat="false" ht="15" hidden="false" customHeight="false" outlineLevel="0" collapsed="false">
      <c r="K1749" s="24" t="n">
        <f aca="false">IF(Search!$B$3="",0,IF($A1749="",N(K1748),IF(ISNUMBER(SEARCH(Search!$B$3,$A1749&amp;"")),N(K1748)+1,N(K1748))))</f>
        <v>0</v>
      </c>
    </row>
    <row r="1750" customFormat="false" ht="15" hidden="false" customHeight="false" outlineLevel="0" collapsed="false">
      <c r="K1750" s="24" t="n">
        <f aca="false">IF(Search!$B$3="",0,IF($A1750="",N(K1749),IF(ISNUMBER(SEARCH(Search!$B$3,$A1750&amp;"")),N(K1749)+1,N(K1749))))</f>
        <v>0</v>
      </c>
    </row>
    <row r="1751" customFormat="false" ht="15" hidden="false" customHeight="false" outlineLevel="0" collapsed="false">
      <c r="K1751" s="24" t="n">
        <f aca="false">IF(Search!$B$3="",0,IF($A1751="",N(K1750),IF(ISNUMBER(SEARCH(Search!$B$3,$A1751&amp;"")),N(K1750)+1,N(K1750))))</f>
        <v>0</v>
      </c>
    </row>
    <row r="1752" customFormat="false" ht="15" hidden="false" customHeight="false" outlineLevel="0" collapsed="false">
      <c r="K1752" s="24" t="n">
        <f aca="false">IF(Search!$B$3="",0,IF($A1752="",N(K1751),IF(ISNUMBER(SEARCH(Search!$B$3,$A1752&amp;"")),N(K1751)+1,N(K1751))))</f>
        <v>0</v>
      </c>
    </row>
    <row r="1753" customFormat="false" ht="15" hidden="false" customHeight="false" outlineLevel="0" collapsed="false">
      <c r="K1753" s="24" t="n">
        <f aca="false">IF(Search!$B$3="",0,IF($A1753="",N(K1752),IF(ISNUMBER(SEARCH(Search!$B$3,$A1753&amp;"")),N(K1752)+1,N(K1752))))</f>
        <v>0</v>
      </c>
    </row>
    <row r="1754" customFormat="false" ht="15" hidden="false" customHeight="false" outlineLevel="0" collapsed="false">
      <c r="K1754" s="24" t="n">
        <f aca="false">IF(Search!$B$3="",0,IF($A1754="",N(K1753),IF(ISNUMBER(SEARCH(Search!$B$3,$A1754&amp;"")),N(K1753)+1,N(K1753))))</f>
        <v>0</v>
      </c>
    </row>
    <row r="1755" customFormat="false" ht="15" hidden="false" customHeight="false" outlineLevel="0" collapsed="false">
      <c r="K1755" s="24" t="n">
        <f aca="false">IF(Search!$B$3="",0,IF($A1755="",N(K1754),IF(ISNUMBER(SEARCH(Search!$B$3,$A1755&amp;"")),N(K1754)+1,N(K1754))))</f>
        <v>0</v>
      </c>
    </row>
    <row r="1756" customFormat="false" ht="15" hidden="false" customHeight="false" outlineLevel="0" collapsed="false">
      <c r="K1756" s="24" t="n">
        <f aca="false">IF(Search!$B$3="",0,IF($A1756="",N(K1755),IF(ISNUMBER(SEARCH(Search!$B$3,$A1756&amp;"")),N(K1755)+1,N(K1755))))</f>
        <v>0</v>
      </c>
    </row>
    <row r="1757" customFormat="false" ht="15" hidden="false" customHeight="false" outlineLevel="0" collapsed="false">
      <c r="K1757" s="24" t="n">
        <f aca="false">IF(Search!$B$3="",0,IF($A1757="",N(K1756),IF(ISNUMBER(SEARCH(Search!$B$3,$A1757&amp;"")),N(K1756)+1,N(K1756))))</f>
        <v>0</v>
      </c>
    </row>
    <row r="1758" customFormat="false" ht="15" hidden="false" customHeight="false" outlineLevel="0" collapsed="false">
      <c r="K1758" s="24" t="n">
        <f aca="false">IF(Search!$B$3="",0,IF($A1758="",N(K1757),IF(ISNUMBER(SEARCH(Search!$B$3,$A1758&amp;"")),N(K1757)+1,N(K1757))))</f>
        <v>0</v>
      </c>
    </row>
    <row r="1759" customFormat="false" ht="15" hidden="false" customHeight="false" outlineLevel="0" collapsed="false">
      <c r="K1759" s="24" t="n">
        <f aca="false">IF(Search!$B$3="",0,IF($A1759="",N(K1758),IF(ISNUMBER(SEARCH(Search!$B$3,$A1759&amp;"")),N(K1758)+1,N(K1758))))</f>
        <v>0</v>
      </c>
    </row>
    <row r="1760" customFormat="false" ht="15" hidden="false" customHeight="false" outlineLevel="0" collapsed="false">
      <c r="K1760" s="24" t="n">
        <f aca="false">IF(Search!$B$3="",0,IF($A1760="",N(K1759),IF(ISNUMBER(SEARCH(Search!$B$3,$A1760&amp;"")),N(K1759)+1,N(K1759))))</f>
        <v>0</v>
      </c>
    </row>
    <row r="1761" customFormat="false" ht="15" hidden="false" customHeight="false" outlineLevel="0" collapsed="false">
      <c r="K1761" s="24" t="n">
        <f aca="false">IF(Search!$B$3="",0,IF($A1761="",N(K1760),IF(ISNUMBER(SEARCH(Search!$B$3,$A1761&amp;"")),N(K1760)+1,N(K1760))))</f>
        <v>0</v>
      </c>
    </row>
    <row r="1762" customFormat="false" ht="15" hidden="false" customHeight="false" outlineLevel="0" collapsed="false">
      <c r="K1762" s="24" t="n">
        <f aca="false">IF(Search!$B$3="",0,IF($A1762="",N(K1761),IF(ISNUMBER(SEARCH(Search!$B$3,$A1762&amp;"")),N(K1761)+1,N(K1761))))</f>
        <v>0</v>
      </c>
    </row>
    <row r="1763" customFormat="false" ht="15" hidden="false" customHeight="false" outlineLevel="0" collapsed="false">
      <c r="K1763" s="24" t="n">
        <f aca="false">IF(Search!$B$3="",0,IF($A1763="",N(K1762),IF(ISNUMBER(SEARCH(Search!$B$3,$A1763&amp;"")),N(K1762)+1,N(K1762))))</f>
        <v>0</v>
      </c>
    </row>
    <row r="1764" customFormat="false" ht="15" hidden="false" customHeight="false" outlineLevel="0" collapsed="false">
      <c r="K1764" s="24" t="n">
        <f aca="false">IF(Search!$B$3="",0,IF($A1764="",N(K1763),IF(ISNUMBER(SEARCH(Search!$B$3,$A1764&amp;"")),N(K1763)+1,N(K1763))))</f>
        <v>0</v>
      </c>
    </row>
    <row r="1765" customFormat="false" ht="15" hidden="false" customHeight="false" outlineLevel="0" collapsed="false">
      <c r="K1765" s="24" t="n">
        <f aca="false">IF(Search!$B$3="",0,IF($A1765="",N(K1764),IF(ISNUMBER(SEARCH(Search!$B$3,$A1765&amp;"")),N(K1764)+1,N(K1764))))</f>
        <v>0</v>
      </c>
    </row>
    <row r="1766" customFormat="false" ht="15" hidden="false" customHeight="false" outlineLevel="0" collapsed="false">
      <c r="K1766" s="24" t="n">
        <f aca="false">IF(Search!$B$3="",0,IF($A1766="",N(K1765),IF(ISNUMBER(SEARCH(Search!$B$3,$A1766&amp;"")),N(K1765)+1,N(K1765))))</f>
        <v>0</v>
      </c>
    </row>
    <row r="1767" customFormat="false" ht="15" hidden="false" customHeight="false" outlineLevel="0" collapsed="false">
      <c r="K1767" s="24" t="n">
        <f aca="false">IF(Search!$B$3="",0,IF($A1767="",N(K1766),IF(ISNUMBER(SEARCH(Search!$B$3,$A1767&amp;"")),N(K1766)+1,N(K1766))))</f>
        <v>0</v>
      </c>
    </row>
    <row r="1768" customFormat="false" ht="15" hidden="false" customHeight="false" outlineLevel="0" collapsed="false">
      <c r="K1768" s="24" t="n">
        <f aca="false">IF(Search!$B$3="",0,IF($A1768="",N(K1767),IF(ISNUMBER(SEARCH(Search!$B$3,$A1768&amp;"")),N(K1767)+1,N(K1767))))</f>
        <v>0</v>
      </c>
    </row>
    <row r="1769" customFormat="false" ht="15" hidden="false" customHeight="false" outlineLevel="0" collapsed="false">
      <c r="K1769" s="24" t="n">
        <f aca="false">IF(Search!$B$3="",0,IF($A1769="",N(K1768),IF(ISNUMBER(SEARCH(Search!$B$3,$A1769&amp;"")),N(K1768)+1,N(K1768))))</f>
        <v>0</v>
      </c>
    </row>
    <row r="1770" customFormat="false" ht="15" hidden="false" customHeight="false" outlineLevel="0" collapsed="false">
      <c r="K1770" s="24" t="n">
        <f aca="false">IF(Search!$B$3="",0,IF($A1770="",N(K1769),IF(ISNUMBER(SEARCH(Search!$B$3,$A1770&amp;"")),N(K1769)+1,N(K1769))))</f>
        <v>0</v>
      </c>
    </row>
    <row r="1771" customFormat="false" ht="15" hidden="false" customHeight="false" outlineLevel="0" collapsed="false">
      <c r="K1771" s="24" t="n">
        <f aca="false">IF(Search!$B$3="",0,IF($A1771="",N(K1770),IF(ISNUMBER(SEARCH(Search!$B$3,$A1771&amp;"")),N(K1770)+1,N(K1770))))</f>
        <v>0</v>
      </c>
    </row>
    <row r="1772" customFormat="false" ht="15" hidden="false" customHeight="false" outlineLevel="0" collapsed="false">
      <c r="K1772" s="24" t="n">
        <f aca="false">IF(Search!$B$3="",0,IF($A1772="",N(K1771),IF(ISNUMBER(SEARCH(Search!$B$3,$A1772&amp;"")),N(K1771)+1,N(K1771))))</f>
        <v>0</v>
      </c>
    </row>
    <row r="1773" customFormat="false" ht="15" hidden="false" customHeight="false" outlineLevel="0" collapsed="false">
      <c r="K1773" s="24" t="n">
        <f aca="false">IF(Search!$B$3="",0,IF($A1773="",N(K1772),IF(ISNUMBER(SEARCH(Search!$B$3,$A1773&amp;"")),N(K1772)+1,N(K1772))))</f>
        <v>0</v>
      </c>
    </row>
    <row r="1774" customFormat="false" ht="15" hidden="false" customHeight="false" outlineLevel="0" collapsed="false">
      <c r="K1774" s="24" t="n">
        <f aca="false">IF(Search!$B$3="",0,IF($A1774="",N(K1773),IF(ISNUMBER(SEARCH(Search!$B$3,$A1774&amp;"")),N(K1773)+1,N(K1773))))</f>
        <v>0</v>
      </c>
    </row>
    <row r="1775" customFormat="false" ht="15" hidden="false" customHeight="false" outlineLevel="0" collapsed="false">
      <c r="K1775" s="24" t="n">
        <f aca="false">IF(Search!$B$3="",0,IF($A1775="",N(K1774),IF(ISNUMBER(SEARCH(Search!$B$3,$A1775&amp;"")),N(K1774)+1,N(K1774))))</f>
        <v>0</v>
      </c>
    </row>
    <row r="1776" customFormat="false" ht="15" hidden="false" customHeight="false" outlineLevel="0" collapsed="false">
      <c r="K1776" s="24" t="n">
        <f aca="false">IF(Search!$B$3="",0,IF($A1776="",N(K1775),IF(ISNUMBER(SEARCH(Search!$B$3,$A1776&amp;"")),N(K1775)+1,N(K1775))))</f>
        <v>0</v>
      </c>
    </row>
    <row r="1777" customFormat="false" ht="15" hidden="false" customHeight="false" outlineLevel="0" collapsed="false">
      <c r="K1777" s="24" t="n">
        <f aca="false">IF(Search!$B$3="",0,IF($A1777="",N(K1776),IF(ISNUMBER(SEARCH(Search!$B$3,$A1777&amp;"")),N(K1776)+1,N(K1776))))</f>
        <v>0</v>
      </c>
    </row>
    <row r="1778" customFormat="false" ht="15" hidden="false" customHeight="false" outlineLevel="0" collapsed="false">
      <c r="K1778" s="24" t="n">
        <f aca="false">IF(Search!$B$3="",0,IF($A1778="",N(K1777),IF(ISNUMBER(SEARCH(Search!$B$3,$A1778&amp;"")),N(K1777)+1,N(K1777))))</f>
        <v>0</v>
      </c>
    </row>
    <row r="1779" customFormat="false" ht="15" hidden="false" customHeight="false" outlineLevel="0" collapsed="false">
      <c r="K1779" s="24" t="n">
        <f aca="false">IF(Search!$B$3="",0,IF($A1779="",N(K1778),IF(ISNUMBER(SEARCH(Search!$B$3,$A1779&amp;"")),N(K1778)+1,N(K1778))))</f>
        <v>0</v>
      </c>
    </row>
    <row r="1780" customFormat="false" ht="15" hidden="false" customHeight="false" outlineLevel="0" collapsed="false">
      <c r="K1780" s="24" t="n">
        <f aca="false">IF(Search!$B$3="",0,IF($A1780="",N(K1779),IF(ISNUMBER(SEARCH(Search!$B$3,$A1780&amp;"")),N(K1779)+1,N(K1779))))</f>
        <v>0</v>
      </c>
    </row>
    <row r="1781" customFormat="false" ht="15" hidden="false" customHeight="false" outlineLevel="0" collapsed="false">
      <c r="K1781" s="24" t="n">
        <f aca="false">IF(Search!$B$3="",0,IF($A1781="",N(K1780),IF(ISNUMBER(SEARCH(Search!$B$3,$A1781&amp;"")),N(K1780)+1,N(K1780))))</f>
        <v>0</v>
      </c>
    </row>
    <row r="1782" customFormat="false" ht="15" hidden="false" customHeight="false" outlineLevel="0" collapsed="false">
      <c r="K1782" s="24" t="n">
        <f aca="false">IF(Search!$B$3="",0,IF($A1782="",N(K1781),IF(ISNUMBER(SEARCH(Search!$B$3,$A1782&amp;"")),N(K1781)+1,N(K1781))))</f>
        <v>0</v>
      </c>
    </row>
    <row r="1783" customFormat="false" ht="15" hidden="false" customHeight="false" outlineLevel="0" collapsed="false">
      <c r="K1783" s="24" t="n">
        <f aca="false">IF(Search!$B$3="",0,IF($A1783="",N(K1782),IF(ISNUMBER(SEARCH(Search!$B$3,$A1783&amp;"")),N(K1782)+1,N(K1782))))</f>
        <v>0</v>
      </c>
    </row>
    <row r="1784" customFormat="false" ht="15" hidden="false" customHeight="false" outlineLevel="0" collapsed="false">
      <c r="K1784" s="24" t="n">
        <f aca="false">IF(Search!$B$3="",0,IF($A1784="",N(K1783),IF(ISNUMBER(SEARCH(Search!$B$3,$A1784&amp;"")),N(K1783)+1,N(K1783))))</f>
        <v>0</v>
      </c>
    </row>
    <row r="1785" customFormat="false" ht="15" hidden="false" customHeight="false" outlineLevel="0" collapsed="false">
      <c r="K1785" s="24" t="n">
        <f aca="false">IF(Search!$B$3="",0,IF($A1785="",N(K1784),IF(ISNUMBER(SEARCH(Search!$B$3,$A1785&amp;"")),N(K1784)+1,N(K1784))))</f>
        <v>0</v>
      </c>
    </row>
    <row r="1786" customFormat="false" ht="15" hidden="false" customHeight="false" outlineLevel="0" collapsed="false">
      <c r="K1786" s="24" t="n">
        <f aca="false">IF(Search!$B$3="",0,IF($A1786="",N(K1785),IF(ISNUMBER(SEARCH(Search!$B$3,$A1786&amp;"")),N(K1785)+1,N(K1785))))</f>
        <v>0</v>
      </c>
    </row>
    <row r="1787" customFormat="false" ht="15" hidden="false" customHeight="false" outlineLevel="0" collapsed="false">
      <c r="K1787" s="24" t="n">
        <f aca="false">IF(Search!$B$3="",0,IF($A1787="",N(K1786),IF(ISNUMBER(SEARCH(Search!$B$3,$A1787&amp;"")),N(K1786)+1,N(K1786))))</f>
        <v>0</v>
      </c>
    </row>
    <row r="1788" customFormat="false" ht="15" hidden="false" customHeight="false" outlineLevel="0" collapsed="false">
      <c r="K1788" s="24" t="n">
        <f aca="false">IF(Search!$B$3="",0,IF($A1788="",N(K1787),IF(ISNUMBER(SEARCH(Search!$B$3,$A1788&amp;"")),N(K1787)+1,N(K1787))))</f>
        <v>0</v>
      </c>
    </row>
    <row r="1789" customFormat="false" ht="15" hidden="false" customHeight="false" outlineLevel="0" collapsed="false">
      <c r="K1789" s="24" t="n">
        <f aca="false">IF(Search!$B$3="",0,IF($A1789="",N(K1788),IF(ISNUMBER(SEARCH(Search!$B$3,$A1789&amp;"")),N(K1788)+1,N(K1788))))</f>
        <v>0</v>
      </c>
    </row>
    <row r="1790" customFormat="false" ht="15" hidden="false" customHeight="false" outlineLevel="0" collapsed="false">
      <c r="K1790" s="24" t="n">
        <f aca="false">IF(Search!$B$3="",0,IF($A1790="",N(K1789),IF(ISNUMBER(SEARCH(Search!$B$3,$A1790&amp;"")),N(K1789)+1,N(K1789))))</f>
        <v>0</v>
      </c>
    </row>
    <row r="1791" customFormat="false" ht="15" hidden="false" customHeight="false" outlineLevel="0" collapsed="false">
      <c r="K1791" s="24" t="n">
        <f aca="false">IF(Search!$B$3="",0,IF($A1791="",N(K1790),IF(ISNUMBER(SEARCH(Search!$B$3,$A1791&amp;"")),N(K1790)+1,N(K1790))))</f>
        <v>0</v>
      </c>
    </row>
    <row r="1792" customFormat="false" ht="15" hidden="false" customHeight="false" outlineLevel="0" collapsed="false">
      <c r="K1792" s="24" t="n">
        <f aca="false">IF(Search!$B$3="",0,IF($A1792="",N(K1791),IF(ISNUMBER(SEARCH(Search!$B$3,$A1792&amp;"")),N(K1791)+1,N(K1791))))</f>
        <v>0</v>
      </c>
    </row>
    <row r="1793" customFormat="false" ht="15" hidden="false" customHeight="false" outlineLevel="0" collapsed="false">
      <c r="K1793" s="24" t="n">
        <f aca="false">IF(Search!$B$3="",0,IF($A1793="",N(K1792),IF(ISNUMBER(SEARCH(Search!$B$3,$A1793&amp;"")),N(K1792)+1,N(K1792))))</f>
        <v>0</v>
      </c>
    </row>
    <row r="1794" customFormat="false" ht="15" hidden="false" customHeight="false" outlineLevel="0" collapsed="false">
      <c r="K1794" s="24" t="n">
        <f aca="false">IF(Search!$B$3="",0,IF($A1794="",N(K1793),IF(ISNUMBER(SEARCH(Search!$B$3,$A1794&amp;"")),N(K1793)+1,N(K1793))))</f>
        <v>0</v>
      </c>
    </row>
    <row r="1795" customFormat="false" ht="15" hidden="false" customHeight="false" outlineLevel="0" collapsed="false">
      <c r="K1795" s="24" t="n">
        <f aca="false">IF(Search!$B$3="",0,IF($A1795="",N(K1794),IF(ISNUMBER(SEARCH(Search!$B$3,$A1795&amp;"")),N(K1794)+1,N(K1794))))</f>
        <v>0</v>
      </c>
    </row>
    <row r="1796" customFormat="false" ht="15" hidden="false" customHeight="false" outlineLevel="0" collapsed="false">
      <c r="K1796" s="24" t="n">
        <f aca="false">IF(Search!$B$3="",0,IF($A1796="",N(K1795),IF(ISNUMBER(SEARCH(Search!$B$3,$A1796&amp;"")),N(K1795)+1,N(K1795))))</f>
        <v>0</v>
      </c>
    </row>
    <row r="1797" customFormat="false" ht="15" hidden="false" customHeight="false" outlineLevel="0" collapsed="false">
      <c r="K1797" s="24" t="n">
        <f aca="false">IF(Search!$B$3="",0,IF($A1797="",N(K1796),IF(ISNUMBER(SEARCH(Search!$B$3,$A1797&amp;"")),N(K1796)+1,N(K1796))))</f>
        <v>0</v>
      </c>
    </row>
    <row r="1798" customFormat="false" ht="15" hidden="false" customHeight="false" outlineLevel="0" collapsed="false">
      <c r="K1798" s="24" t="n">
        <f aca="false">IF(Search!$B$3="",0,IF($A1798="",N(K1797),IF(ISNUMBER(SEARCH(Search!$B$3,$A1798&amp;"")),N(K1797)+1,N(K1797))))</f>
        <v>0</v>
      </c>
    </row>
    <row r="1799" customFormat="false" ht="15" hidden="false" customHeight="false" outlineLevel="0" collapsed="false">
      <c r="K1799" s="24" t="n">
        <f aca="false">IF(Search!$B$3="",0,IF($A1799="",N(K1798),IF(ISNUMBER(SEARCH(Search!$B$3,$A1799&amp;"")),N(K1798)+1,N(K1798))))</f>
        <v>0</v>
      </c>
    </row>
    <row r="1800" customFormat="false" ht="15" hidden="false" customHeight="false" outlineLevel="0" collapsed="false">
      <c r="K1800" s="24" t="n">
        <f aca="false">IF(Search!$B$3="",0,IF($A1800="",N(K1799),IF(ISNUMBER(SEARCH(Search!$B$3,$A1800&amp;"")),N(K1799)+1,N(K1799))))</f>
        <v>0</v>
      </c>
    </row>
    <row r="1801" customFormat="false" ht="15" hidden="false" customHeight="false" outlineLevel="0" collapsed="false">
      <c r="K1801" s="24" t="n">
        <f aca="false">IF(Search!$B$3="",0,IF($A1801="",N(K1800),IF(ISNUMBER(SEARCH(Search!$B$3,$A1801&amp;"")),N(K1800)+1,N(K1800))))</f>
        <v>0</v>
      </c>
    </row>
    <row r="1802" customFormat="false" ht="15" hidden="false" customHeight="false" outlineLevel="0" collapsed="false">
      <c r="K1802" s="24" t="n">
        <f aca="false">IF(Search!$B$3="",0,IF($A1802="",N(K1801),IF(ISNUMBER(SEARCH(Search!$B$3,$A1802&amp;"")),N(K1801)+1,N(K1801))))</f>
        <v>0</v>
      </c>
    </row>
    <row r="1803" customFormat="false" ht="15" hidden="false" customHeight="false" outlineLevel="0" collapsed="false">
      <c r="K1803" s="24" t="n">
        <f aca="false">IF(Search!$B$3="",0,IF($A1803="",N(K1802),IF(ISNUMBER(SEARCH(Search!$B$3,$A1803&amp;"")),N(K1802)+1,N(K1802))))</f>
        <v>0</v>
      </c>
    </row>
    <row r="1804" customFormat="false" ht="15" hidden="false" customHeight="false" outlineLevel="0" collapsed="false">
      <c r="K1804" s="24" t="n">
        <f aca="false">IF(Search!$B$3="",0,IF($A1804="",N(K1803),IF(ISNUMBER(SEARCH(Search!$B$3,$A1804&amp;"")),N(K1803)+1,N(K1803))))</f>
        <v>0</v>
      </c>
    </row>
    <row r="1805" customFormat="false" ht="15" hidden="false" customHeight="false" outlineLevel="0" collapsed="false">
      <c r="K1805" s="24" t="n">
        <f aca="false">IF(Search!$B$3="",0,IF($A1805="",N(K1804),IF(ISNUMBER(SEARCH(Search!$B$3,$A1805&amp;"")),N(K1804)+1,N(K1804))))</f>
        <v>0</v>
      </c>
    </row>
    <row r="1806" customFormat="false" ht="15" hidden="false" customHeight="false" outlineLevel="0" collapsed="false">
      <c r="K1806" s="24" t="n">
        <f aca="false">IF(Search!$B$3="",0,IF($A1806="",N(K1805),IF(ISNUMBER(SEARCH(Search!$B$3,$A1806&amp;"")),N(K1805)+1,N(K1805))))</f>
        <v>0</v>
      </c>
    </row>
    <row r="1807" customFormat="false" ht="15" hidden="false" customHeight="false" outlineLevel="0" collapsed="false">
      <c r="K1807" s="24" t="n">
        <f aca="false">IF(Search!$B$3="",0,IF($A1807="",N(K1806),IF(ISNUMBER(SEARCH(Search!$B$3,$A1807&amp;"")),N(K1806)+1,N(K1806))))</f>
        <v>0</v>
      </c>
    </row>
    <row r="1808" customFormat="false" ht="15" hidden="false" customHeight="false" outlineLevel="0" collapsed="false">
      <c r="K1808" s="24" t="n">
        <f aca="false">IF(Search!$B$3="",0,IF($A1808="",N(K1807),IF(ISNUMBER(SEARCH(Search!$B$3,$A1808&amp;"")),N(K1807)+1,N(K1807))))</f>
        <v>0</v>
      </c>
    </row>
    <row r="1809" customFormat="false" ht="15" hidden="false" customHeight="false" outlineLevel="0" collapsed="false">
      <c r="K1809" s="24" t="n">
        <f aca="false">IF(Search!$B$3="",0,IF($A1809="",N(K1808),IF(ISNUMBER(SEARCH(Search!$B$3,$A1809&amp;"")),N(K1808)+1,N(K1808))))</f>
        <v>0</v>
      </c>
    </row>
    <row r="1810" customFormat="false" ht="15" hidden="false" customHeight="false" outlineLevel="0" collapsed="false">
      <c r="K1810" s="24" t="n">
        <f aca="false">IF(Search!$B$3="",0,IF($A1810="",N(K1809),IF(ISNUMBER(SEARCH(Search!$B$3,$A1810&amp;"")),N(K1809)+1,N(K1809))))</f>
        <v>0</v>
      </c>
    </row>
    <row r="1811" customFormat="false" ht="15" hidden="false" customHeight="false" outlineLevel="0" collapsed="false">
      <c r="K1811" s="24" t="n">
        <f aca="false">IF(Search!$B$3="",0,IF($A1811="",N(K1810),IF(ISNUMBER(SEARCH(Search!$B$3,$A1811&amp;"")),N(K1810)+1,N(K1810))))</f>
        <v>0</v>
      </c>
    </row>
    <row r="1812" customFormat="false" ht="15" hidden="false" customHeight="false" outlineLevel="0" collapsed="false">
      <c r="K1812" s="24" t="n">
        <f aca="false">IF(Search!$B$3="",0,IF($A1812="",N(K1811),IF(ISNUMBER(SEARCH(Search!$B$3,$A1812&amp;"")),N(K1811)+1,N(K1811))))</f>
        <v>0</v>
      </c>
    </row>
    <row r="1813" customFormat="false" ht="15" hidden="false" customHeight="false" outlineLevel="0" collapsed="false">
      <c r="K1813" s="24" t="n">
        <f aca="false">IF(Search!$B$3="",0,IF($A1813="",N(K1812),IF(ISNUMBER(SEARCH(Search!$B$3,$A1813&amp;"")),N(K1812)+1,N(K1812))))</f>
        <v>0</v>
      </c>
    </row>
    <row r="1814" customFormat="false" ht="15" hidden="false" customHeight="false" outlineLevel="0" collapsed="false">
      <c r="K1814" s="24" t="n">
        <f aca="false">IF(Search!$B$3="",0,IF($A1814="",N(K1813),IF(ISNUMBER(SEARCH(Search!$B$3,$A1814&amp;"")),N(K1813)+1,N(K1813))))</f>
        <v>0</v>
      </c>
    </row>
    <row r="1815" customFormat="false" ht="15" hidden="false" customHeight="false" outlineLevel="0" collapsed="false">
      <c r="K1815" s="24" t="n">
        <f aca="false">IF(Search!$B$3="",0,IF($A1815="",N(K1814),IF(ISNUMBER(SEARCH(Search!$B$3,$A1815&amp;"")),N(K1814)+1,N(K1814))))</f>
        <v>0</v>
      </c>
    </row>
    <row r="1816" customFormat="false" ht="15" hidden="false" customHeight="false" outlineLevel="0" collapsed="false">
      <c r="K1816" s="24" t="n">
        <f aca="false">IF(Search!$B$3="",0,IF($A1816="",N(K1815),IF(ISNUMBER(SEARCH(Search!$B$3,$A1816&amp;"")),N(K1815)+1,N(K1815))))</f>
        <v>0</v>
      </c>
    </row>
    <row r="1817" customFormat="false" ht="15" hidden="false" customHeight="false" outlineLevel="0" collapsed="false">
      <c r="K1817" s="24" t="n">
        <f aca="false">IF(Search!$B$3="",0,IF($A1817="",N(K1816),IF(ISNUMBER(SEARCH(Search!$B$3,$A1817&amp;"")),N(K1816)+1,N(K1816))))</f>
        <v>0</v>
      </c>
    </row>
    <row r="1818" customFormat="false" ht="15" hidden="false" customHeight="false" outlineLevel="0" collapsed="false">
      <c r="K1818" s="24" t="n">
        <f aca="false">IF(Search!$B$3="",0,IF($A1818="",N(K1817),IF(ISNUMBER(SEARCH(Search!$B$3,$A1818&amp;"")),N(K1817)+1,N(K1817))))</f>
        <v>0</v>
      </c>
    </row>
    <row r="1819" customFormat="false" ht="15" hidden="false" customHeight="false" outlineLevel="0" collapsed="false">
      <c r="K1819" s="24" t="n">
        <f aca="false">IF(Search!$B$3="",0,IF($A1819="",N(K1818),IF(ISNUMBER(SEARCH(Search!$B$3,$A1819&amp;"")),N(K1818)+1,N(K1818))))</f>
        <v>0</v>
      </c>
    </row>
    <row r="1820" customFormat="false" ht="15" hidden="false" customHeight="false" outlineLevel="0" collapsed="false">
      <c r="K1820" s="24" t="n">
        <f aca="false">IF(Search!$B$3="",0,IF($A1820="",N(K1819),IF(ISNUMBER(SEARCH(Search!$B$3,$A1820&amp;"")),N(K1819)+1,N(K1819))))</f>
        <v>0</v>
      </c>
    </row>
    <row r="1821" customFormat="false" ht="15" hidden="false" customHeight="false" outlineLevel="0" collapsed="false">
      <c r="K1821" s="24" t="n">
        <f aca="false">IF(Search!$B$3="",0,IF($A1821="",N(K1820),IF(ISNUMBER(SEARCH(Search!$B$3,$A1821&amp;"")),N(K1820)+1,N(K1820))))</f>
        <v>0</v>
      </c>
    </row>
    <row r="1822" customFormat="false" ht="15" hidden="false" customHeight="false" outlineLevel="0" collapsed="false">
      <c r="K1822" s="24" t="n">
        <f aca="false">IF(Search!$B$3="",0,IF($A1822="",N(K1821),IF(ISNUMBER(SEARCH(Search!$B$3,$A1822&amp;"")),N(K1821)+1,N(K1821))))</f>
        <v>0</v>
      </c>
    </row>
    <row r="1823" customFormat="false" ht="15" hidden="false" customHeight="false" outlineLevel="0" collapsed="false">
      <c r="K1823" s="24" t="n">
        <f aca="false">IF(Search!$B$3="",0,IF($A1823="",N(K1822),IF(ISNUMBER(SEARCH(Search!$B$3,$A1823&amp;"")),N(K1822)+1,N(K1822))))</f>
        <v>0</v>
      </c>
    </row>
    <row r="1824" customFormat="false" ht="15" hidden="false" customHeight="false" outlineLevel="0" collapsed="false">
      <c r="K1824" s="24" t="n">
        <f aca="false">IF(Search!$B$3="",0,IF($A1824="",N(K1823),IF(ISNUMBER(SEARCH(Search!$B$3,$A1824&amp;"")),N(K1823)+1,N(K1823))))</f>
        <v>0</v>
      </c>
    </row>
    <row r="1825" customFormat="false" ht="15" hidden="false" customHeight="false" outlineLevel="0" collapsed="false">
      <c r="K1825" s="24" t="n">
        <f aca="false">IF(Search!$B$3="",0,IF($A1825="",N(K1824),IF(ISNUMBER(SEARCH(Search!$B$3,$A1825&amp;"")),N(K1824)+1,N(K1824))))</f>
        <v>0</v>
      </c>
    </row>
    <row r="1826" customFormat="false" ht="15" hidden="false" customHeight="false" outlineLevel="0" collapsed="false">
      <c r="K1826" s="24" t="n">
        <f aca="false">IF(Search!$B$3="",0,IF($A1826="",N(K1825),IF(ISNUMBER(SEARCH(Search!$B$3,$A1826&amp;"")),N(K1825)+1,N(K1825))))</f>
        <v>0</v>
      </c>
    </row>
    <row r="1827" customFormat="false" ht="15" hidden="false" customHeight="false" outlineLevel="0" collapsed="false">
      <c r="K1827" s="24" t="n">
        <f aca="false">IF(Search!$B$3="",0,IF($A1827="",N(K1826),IF(ISNUMBER(SEARCH(Search!$B$3,$A1827&amp;"")),N(K1826)+1,N(K1826))))</f>
        <v>0</v>
      </c>
    </row>
    <row r="1828" customFormat="false" ht="15" hidden="false" customHeight="false" outlineLevel="0" collapsed="false">
      <c r="K1828" s="24" t="n">
        <f aca="false">IF(Search!$B$3="",0,IF($A1828="",N(K1827),IF(ISNUMBER(SEARCH(Search!$B$3,$A1828&amp;"")),N(K1827)+1,N(K1827))))</f>
        <v>0</v>
      </c>
    </row>
    <row r="1829" customFormat="false" ht="15" hidden="false" customHeight="false" outlineLevel="0" collapsed="false">
      <c r="K1829" s="24" t="n">
        <f aca="false">IF(Search!$B$3="",0,IF($A1829="",N(K1828),IF(ISNUMBER(SEARCH(Search!$B$3,$A1829&amp;"")),N(K1828)+1,N(K1828))))</f>
        <v>0</v>
      </c>
    </row>
    <row r="1830" customFormat="false" ht="15" hidden="false" customHeight="false" outlineLevel="0" collapsed="false">
      <c r="K1830" s="24" t="n">
        <f aca="false">IF(Search!$B$3="",0,IF($A1830="",N(K1829),IF(ISNUMBER(SEARCH(Search!$B$3,$A1830&amp;"")),N(K1829)+1,N(K1829))))</f>
        <v>0</v>
      </c>
    </row>
    <row r="1831" customFormat="false" ht="15" hidden="false" customHeight="false" outlineLevel="0" collapsed="false">
      <c r="K1831" s="24" t="n">
        <f aca="false">IF(Search!$B$3="",0,IF($A1831="",N(K1830),IF(ISNUMBER(SEARCH(Search!$B$3,$A1831&amp;"")),N(K1830)+1,N(K1830))))</f>
        <v>0</v>
      </c>
    </row>
    <row r="1832" customFormat="false" ht="15" hidden="false" customHeight="false" outlineLevel="0" collapsed="false">
      <c r="K1832" s="24" t="n">
        <f aca="false">IF(Search!$B$3="",0,IF($A1832="",N(K1831),IF(ISNUMBER(SEARCH(Search!$B$3,$A1832&amp;"")),N(K1831)+1,N(K1831))))</f>
        <v>0</v>
      </c>
    </row>
    <row r="1833" customFormat="false" ht="15" hidden="false" customHeight="false" outlineLevel="0" collapsed="false">
      <c r="K1833" s="24" t="n">
        <f aca="false">IF(Search!$B$3="",0,IF($A1833="",N(K1832),IF(ISNUMBER(SEARCH(Search!$B$3,$A1833&amp;"")),N(K1832)+1,N(K1832))))</f>
        <v>0</v>
      </c>
    </row>
    <row r="1834" customFormat="false" ht="15" hidden="false" customHeight="false" outlineLevel="0" collapsed="false">
      <c r="K1834" s="24" t="n">
        <f aca="false">IF(Search!$B$3="",0,IF($A1834="",N(K1833),IF(ISNUMBER(SEARCH(Search!$B$3,$A1834&amp;"")),N(K1833)+1,N(K1833))))</f>
        <v>0</v>
      </c>
    </row>
    <row r="1835" customFormat="false" ht="15" hidden="false" customHeight="false" outlineLevel="0" collapsed="false">
      <c r="K1835" s="24" t="n">
        <f aca="false">IF(Search!$B$3="",0,IF($A1835="",N(K1834),IF(ISNUMBER(SEARCH(Search!$B$3,$A1835&amp;"")),N(K1834)+1,N(K1834))))</f>
        <v>0</v>
      </c>
    </row>
    <row r="1836" customFormat="false" ht="15" hidden="false" customHeight="false" outlineLevel="0" collapsed="false">
      <c r="K1836" s="24" t="n">
        <f aca="false">IF(Search!$B$3="",0,IF($A1836="",N(K1835),IF(ISNUMBER(SEARCH(Search!$B$3,$A1836&amp;"")),N(K1835)+1,N(K1835))))</f>
        <v>0</v>
      </c>
    </row>
    <row r="1837" customFormat="false" ht="15" hidden="false" customHeight="false" outlineLevel="0" collapsed="false">
      <c r="K1837" s="24" t="n">
        <f aca="false">IF(Search!$B$3="",0,IF($A1837="",N(K1836),IF(ISNUMBER(SEARCH(Search!$B$3,$A1837&amp;"")),N(K1836)+1,N(K1836))))</f>
        <v>0</v>
      </c>
    </row>
    <row r="1838" customFormat="false" ht="15" hidden="false" customHeight="false" outlineLevel="0" collapsed="false">
      <c r="K1838" s="24" t="n">
        <f aca="false">IF(Search!$B$3="",0,IF($A1838="",N(K1837),IF(ISNUMBER(SEARCH(Search!$B$3,$A1838&amp;"")),N(K1837)+1,N(K1837))))</f>
        <v>0</v>
      </c>
    </row>
    <row r="1839" customFormat="false" ht="15" hidden="false" customHeight="false" outlineLevel="0" collapsed="false">
      <c r="K1839" s="24" t="n">
        <f aca="false">IF(Search!$B$3="",0,IF($A1839="",N(K1838),IF(ISNUMBER(SEARCH(Search!$B$3,$A1839&amp;"")),N(K1838)+1,N(K1838))))</f>
        <v>0</v>
      </c>
    </row>
    <row r="1840" customFormat="false" ht="15" hidden="false" customHeight="false" outlineLevel="0" collapsed="false">
      <c r="K1840" s="24" t="n">
        <f aca="false">IF(Search!$B$3="",0,IF($A1840="",N(K1839),IF(ISNUMBER(SEARCH(Search!$B$3,$A1840&amp;"")),N(K1839)+1,N(K1839))))</f>
        <v>0</v>
      </c>
    </row>
    <row r="1841" customFormat="false" ht="15" hidden="false" customHeight="false" outlineLevel="0" collapsed="false">
      <c r="K1841" s="24" t="n">
        <f aca="false">IF(Search!$B$3="",0,IF($A1841="",N(K1840),IF(ISNUMBER(SEARCH(Search!$B$3,$A1841&amp;"")),N(K1840)+1,N(K1840))))</f>
        <v>0</v>
      </c>
    </row>
    <row r="1842" customFormat="false" ht="15" hidden="false" customHeight="false" outlineLevel="0" collapsed="false">
      <c r="K1842" s="24" t="n">
        <f aca="false">IF(Search!$B$3="",0,IF($A1842="",N(K1841),IF(ISNUMBER(SEARCH(Search!$B$3,$A1842&amp;"")),N(K1841)+1,N(K1841))))</f>
        <v>0</v>
      </c>
    </row>
    <row r="1843" customFormat="false" ht="15" hidden="false" customHeight="false" outlineLevel="0" collapsed="false">
      <c r="K1843" s="24" t="n">
        <f aca="false">IF(Search!$B$3="",0,IF($A1843="",N(K1842),IF(ISNUMBER(SEARCH(Search!$B$3,$A1843&amp;"")),N(K1842)+1,N(K1842))))</f>
        <v>0</v>
      </c>
    </row>
    <row r="1844" customFormat="false" ht="15" hidden="false" customHeight="false" outlineLevel="0" collapsed="false">
      <c r="K1844" s="24" t="n">
        <f aca="false">IF(Search!$B$3="",0,IF($A1844="",N(K1843),IF(ISNUMBER(SEARCH(Search!$B$3,$A1844&amp;"")),N(K1843)+1,N(K1843))))</f>
        <v>0</v>
      </c>
    </row>
    <row r="1845" customFormat="false" ht="15" hidden="false" customHeight="false" outlineLevel="0" collapsed="false">
      <c r="K1845" s="24" t="n">
        <f aca="false">IF(Search!$B$3="",0,IF($A1845="",N(K1844),IF(ISNUMBER(SEARCH(Search!$B$3,$A1845&amp;"")),N(K1844)+1,N(K1844))))</f>
        <v>0</v>
      </c>
    </row>
    <row r="1846" customFormat="false" ht="15" hidden="false" customHeight="false" outlineLevel="0" collapsed="false">
      <c r="K1846" s="24" t="n">
        <f aca="false">IF(Search!$B$3="",0,IF($A1846="",N(K1845),IF(ISNUMBER(SEARCH(Search!$B$3,$A1846&amp;"")),N(K1845)+1,N(K1845))))</f>
        <v>0</v>
      </c>
    </row>
    <row r="1847" customFormat="false" ht="15" hidden="false" customHeight="false" outlineLevel="0" collapsed="false">
      <c r="K1847" s="24" t="n">
        <f aca="false">IF(Search!$B$3="",0,IF($A1847="",N(K1846),IF(ISNUMBER(SEARCH(Search!$B$3,$A1847&amp;"")),N(K1846)+1,N(K1846))))</f>
        <v>0</v>
      </c>
    </row>
    <row r="1848" customFormat="false" ht="15" hidden="false" customHeight="false" outlineLevel="0" collapsed="false">
      <c r="K1848" s="24" t="n">
        <f aca="false">IF(Search!$B$3="",0,IF($A1848="",N(K1847),IF(ISNUMBER(SEARCH(Search!$B$3,$A1848&amp;"")),N(K1847)+1,N(K1847))))</f>
        <v>0</v>
      </c>
    </row>
    <row r="1849" customFormat="false" ht="15" hidden="false" customHeight="false" outlineLevel="0" collapsed="false">
      <c r="K1849" s="24" t="n">
        <f aca="false">IF(Search!$B$3="",0,IF($A1849="",N(K1848),IF(ISNUMBER(SEARCH(Search!$B$3,$A1849&amp;"")),N(K1848)+1,N(K1848))))</f>
        <v>0</v>
      </c>
    </row>
    <row r="1850" customFormat="false" ht="15" hidden="false" customHeight="false" outlineLevel="0" collapsed="false">
      <c r="K1850" s="24" t="n">
        <f aca="false">IF(Search!$B$3="",0,IF($A1850="",N(K1849),IF(ISNUMBER(SEARCH(Search!$B$3,$A1850&amp;"")),N(K1849)+1,N(K1849))))</f>
        <v>0</v>
      </c>
    </row>
    <row r="1851" customFormat="false" ht="15" hidden="false" customHeight="false" outlineLevel="0" collapsed="false">
      <c r="K1851" s="24" t="n">
        <f aca="false">IF(Search!$B$3="",0,IF($A1851="",N(K1850),IF(ISNUMBER(SEARCH(Search!$B$3,$A1851&amp;"")),N(K1850)+1,N(K1850))))</f>
        <v>0</v>
      </c>
    </row>
    <row r="1852" customFormat="false" ht="15" hidden="false" customHeight="false" outlineLevel="0" collapsed="false">
      <c r="K1852" s="24" t="n">
        <f aca="false">IF(Search!$B$3="",0,IF($A1852="",N(K1851),IF(ISNUMBER(SEARCH(Search!$B$3,$A1852&amp;"")),N(K1851)+1,N(K1851))))</f>
        <v>0</v>
      </c>
    </row>
    <row r="1853" customFormat="false" ht="15" hidden="false" customHeight="false" outlineLevel="0" collapsed="false">
      <c r="K1853" s="24" t="n">
        <f aca="false">IF(Search!$B$3="",0,IF($A1853="",N(K1852),IF(ISNUMBER(SEARCH(Search!$B$3,$A1853&amp;"")),N(K1852)+1,N(K1852))))</f>
        <v>0</v>
      </c>
    </row>
    <row r="1854" customFormat="false" ht="15" hidden="false" customHeight="false" outlineLevel="0" collapsed="false">
      <c r="K1854" s="24" t="n">
        <f aca="false">IF(Search!$B$3="",0,IF($A1854="",N(K1853),IF(ISNUMBER(SEARCH(Search!$B$3,$A1854&amp;"")),N(K1853)+1,N(K1853))))</f>
        <v>0</v>
      </c>
    </row>
    <row r="1855" customFormat="false" ht="15" hidden="false" customHeight="false" outlineLevel="0" collapsed="false">
      <c r="K1855" s="24" t="n">
        <f aca="false">IF(Search!$B$3="",0,IF($A1855="",N(K1854),IF(ISNUMBER(SEARCH(Search!$B$3,$A1855&amp;"")),N(K1854)+1,N(K1854))))</f>
        <v>0</v>
      </c>
    </row>
    <row r="1856" customFormat="false" ht="15" hidden="false" customHeight="false" outlineLevel="0" collapsed="false">
      <c r="K1856" s="24" t="n">
        <f aca="false">IF(Search!$B$3="",0,IF($A1856="",N(K1855),IF(ISNUMBER(SEARCH(Search!$B$3,$A1856&amp;"")),N(K1855)+1,N(K1855))))</f>
        <v>0</v>
      </c>
    </row>
    <row r="1857" customFormat="false" ht="15" hidden="false" customHeight="false" outlineLevel="0" collapsed="false">
      <c r="K1857" s="24" t="n">
        <f aca="false">IF(Search!$B$3="",0,IF($A1857="",N(K1856),IF(ISNUMBER(SEARCH(Search!$B$3,$A1857&amp;"")),N(K1856)+1,N(K1856))))</f>
        <v>0</v>
      </c>
    </row>
    <row r="1858" customFormat="false" ht="15" hidden="false" customHeight="false" outlineLevel="0" collapsed="false">
      <c r="K1858" s="24" t="n">
        <f aca="false">IF(Search!$B$3="",0,IF($A1858="",N(K1857),IF(ISNUMBER(SEARCH(Search!$B$3,$A1858&amp;"")),N(K1857)+1,N(K1857))))</f>
        <v>0</v>
      </c>
    </row>
    <row r="1859" customFormat="false" ht="15" hidden="false" customHeight="false" outlineLevel="0" collapsed="false">
      <c r="K1859" s="24" t="n">
        <f aca="false">IF(Search!$B$3="",0,IF($A1859="",N(K1858),IF(ISNUMBER(SEARCH(Search!$B$3,$A1859&amp;"")),N(K1858)+1,N(K1858))))</f>
        <v>0</v>
      </c>
    </row>
    <row r="1860" customFormat="false" ht="15" hidden="false" customHeight="false" outlineLevel="0" collapsed="false">
      <c r="K1860" s="24" t="n">
        <f aca="false">IF(Search!$B$3="",0,IF($A1860="",N(K1859),IF(ISNUMBER(SEARCH(Search!$B$3,$A1860&amp;"")),N(K1859)+1,N(K1859))))</f>
        <v>0</v>
      </c>
    </row>
    <row r="1861" customFormat="false" ht="15" hidden="false" customHeight="false" outlineLevel="0" collapsed="false">
      <c r="K1861" s="24" t="n">
        <f aca="false">IF(Search!$B$3="",0,IF($A1861="",N(K1860),IF(ISNUMBER(SEARCH(Search!$B$3,$A1861&amp;"")),N(K1860)+1,N(K1860))))</f>
        <v>0</v>
      </c>
    </row>
    <row r="1862" customFormat="false" ht="15" hidden="false" customHeight="false" outlineLevel="0" collapsed="false">
      <c r="K1862" s="24" t="n">
        <f aca="false">IF(Search!$B$3="",0,IF($A1862="",N(K1861),IF(ISNUMBER(SEARCH(Search!$B$3,$A1862&amp;"")),N(K1861)+1,N(K1861))))</f>
        <v>0</v>
      </c>
    </row>
    <row r="1863" customFormat="false" ht="15" hidden="false" customHeight="false" outlineLevel="0" collapsed="false">
      <c r="K1863" s="24" t="n">
        <f aca="false">IF(Search!$B$3="",0,IF($A1863="",N(K1862),IF(ISNUMBER(SEARCH(Search!$B$3,$A1863&amp;"")),N(K1862)+1,N(K1862))))</f>
        <v>0</v>
      </c>
    </row>
    <row r="1864" customFormat="false" ht="15" hidden="false" customHeight="false" outlineLevel="0" collapsed="false">
      <c r="K1864" s="24" t="n">
        <f aca="false">IF(Search!$B$3="",0,IF($A1864="",N(K1863),IF(ISNUMBER(SEARCH(Search!$B$3,$A1864&amp;"")),N(K1863)+1,N(K1863))))</f>
        <v>0</v>
      </c>
    </row>
    <row r="1865" customFormat="false" ht="15" hidden="false" customHeight="false" outlineLevel="0" collapsed="false">
      <c r="K1865" s="24" t="n">
        <f aca="false">IF(Search!$B$3="",0,IF($A1865="",N(K1864),IF(ISNUMBER(SEARCH(Search!$B$3,$A1865&amp;"")),N(K1864)+1,N(K1864))))</f>
        <v>0</v>
      </c>
    </row>
    <row r="1866" customFormat="false" ht="15" hidden="false" customHeight="false" outlineLevel="0" collapsed="false">
      <c r="K1866" s="24" t="n">
        <f aca="false">IF(Search!$B$3="",0,IF($A1866="",N(K1865),IF(ISNUMBER(SEARCH(Search!$B$3,$A1866&amp;"")),N(K1865)+1,N(K1865))))</f>
        <v>0</v>
      </c>
    </row>
    <row r="1867" customFormat="false" ht="15" hidden="false" customHeight="false" outlineLevel="0" collapsed="false">
      <c r="K1867" s="24" t="n">
        <f aca="false">IF(Search!$B$3="",0,IF($A1867="",N(K1866),IF(ISNUMBER(SEARCH(Search!$B$3,$A1867&amp;"")),N(K1866)+1,N(K1866))))</f>
        <v>0</v>
      </c>
    </row>
    <row r="1868" customFormat="false" ht="15" hidden="false" customHeight="false" outlineLevel="0" collapsed="false">
      <c r="K1868" s="24" t="n">
        <f aca="false">IF(Search!$B$3="",0,IF($A1868="",N(K1867),IF(ISNUMBER(SEARCH(Search!$B$3,$A1868&amp;"")),N(K1867)+1,N(K1867))))</f>
        <v>0</v>
      </c>
    </row>
    <row r="1869" customFormat="false" ht="15" hidden="false" customHeight="false" outlineLevel="0" collapsed="false">
      <c r="K1869" s="24" t="n">
        <f aca="false">IF(Search!$B$3="",0,IF($A1869="",N(K1868),IF(ISNUMBER(SEARCH(Search!$B$3,$A1869&amp;"")),N(K1868)+1,N(K1868))))</f>
        <v>0</v>
      </c>
    </row>
    <row r="1870" customFormat="false" ht="15" hidden="false" customHeight="false" outlineLevel="0" collapsed="false">
      <c r="K1870" s="24" t="n">
        <f aca="false">IF(Search!$B$3="",0,IF($A1870="",N(K1869),IF(ISNUMBER(SEARCH(Search!$B$3,$A1870&amp;"")),N(K1869)+1,N(K1869))))</f>
        <v>0</v>
      </c>
    </row>
    <row r="1871" customFormat="false" ht="15" hidden="false" customHeight="false" outlineLevel="0" collapsed="false">
      <c r="K1871" s="24" t="n">
        <f aca="false">IF(Search!$B$3="",0,IF($A1871="",N(K1870),IF(ISNUMBER(SEARCH(Search!$B$3,$A1871&amp;"")),N(K1870)+1,N(K1870))))</f>
        <v>0</v>
      </c>
    </row>
    <row r="1872" customFormat="false" ht="15" hidden="false" customHeight="false" outlineLevel="0" collapsed="false">
      <c r="K1872" s="24" t="n">
        <f aca="false">IF(Search!$B$3="",0,IF($A1872="",N(K1871),IF(ISNUMBER(SEARCH(Search!$B$3,$A1872&amp;"")),N(K1871)+1,N(K1871))))</f>
        <v>0</v>
      </c>
    </row>
    <row r="1873" customFormat="false" ht="15" hidden="false" customHeight="false" outlineLevel="0" collapsed="false">
      <c r="K1873" s="24" t="n">
        <f aca="false">IF(Search!$B$3="",0,IF($A1873="",N(K1872),IF(ISNUMBER(SEARCH(Search!$B$3,$A1873&amp;"")),N(K1872)+1,N(K1872))))</f>
        <v>0</v>
      </c>
    </row>
    <row r="1874" customFormat="false" ht="15" hidden="false" customHeight="false" outlineLevel="0" collapsed="false">
      <c r="K1874" s="24" t="n">
        <f aca="false">IF(Search!$B$3="",0,IF($A1874="",N(K1873),IF(ISNUMBER(SEARCH(Search!$B$3,$A1874&amp;"")),N(K1873)+1,N(K1873))))</f>
        <v>0</v>
      </c>
    </row>
    <row r="1875" customFormat="false" ht="15" hidden="false" customHeight="false" outlineLevel="0" collapsed="false">
      <c r="K1875" s="24" t="n">
        <f aca="false">IF(Search!$B$3="",0,IF($A1875="",N(K1874),IF(ISNUMBER(SEARCH(Search!$B$3,$A1875&amp;"")),N(K1874)+1,N(K1874))))</f>
        <v>0</v>
      </c>
    </row>
    <row r="1876" customFormat="false" ht="15" hidden="false" customHeight="false" outlineLevel="0" collapsed="false">
      <c r="K1876" s="24" t="n">
        <f aca="false">IF(Search!$B$3="",0,IF($A1876="",N(K1875),IF(ISNUMBER(SEARCH(Search!$B$3,$A1876&amp;"")),N(K1875)+1,N(K1875))))</f>
        <v>0</v>
      </c>
    </row>
    <row r="1877" customFormat="false" ht="15" hidden="false" customHeight="false" outlineLevel="0" collapsed="false">
      <c r="K1877" s="24" t="n">
        <f aca="false">IF(Search!$B$3="",0,IF($A1877="",N(K1876),IF(ISNUMBER(SEARCH(Search!$B$3,$A1877&amp;"")),N(K1876)+1,N(K1876))))</f>
        <v>0</v>
      </c>
    </row>
    <row r="1878" customFormat="false" ht="15" hidden="false" customHeight="false" outlineLevel="0" collapsed="false">
      <c r="K1878" s="24" t="n">
        <f aca="false">IF(Search!$B$3="",0,IF($A1878="",N(K1877),IF(ISNUMBER(SEARCH(Search!$B$3,$A1878&amp;"")),N(K1877)+1,N(K1877))))</f>
        <v>0</v>
      </c>
    </row>
    <row r="1879" customFormat="false" ht="15" hidden="false" customHeight="false" outlineLevel="0" collapsed="false">
      <c r="K1879" s="24" t="n">
        <f aca="false">IF(Search!$B$3="",0,IF($A1879="",N(K1878),IF(ISNUMBER(SEARCH(Search!$B$3,$A1879&amp;"")),N(K1878)+1,N(K1878))))</f>
        <v>0</v>
      </c>
    </row>
    <row r="1880" customFormat="false" ht="15" hidden="false" customHeight="false" outlineLevel="0" collapsed="false">
      <c r="K1880" s="24" t="n">
        <f aca="false">IF(Search!$B$3="",0,IF($A1880="",N(K1879),IF(ISNUMBER(SEARCH(Search!$B$3,$A1880&amp;"")),N(K1879)+1,N(K1879))))</f>
        <v>0</v>
      </c>
    </row>
    <row r="1881" customFormat="false" ht="15" hidden="false" customHeight="false" outlineLevel="0" collapsed="false">
      <c r="K1881" s="24" t="n">
        <f aca="false">IF(Search!$B$3="",0,IF($A1881="",N(K1880),IF(ISNUMBER(SEARCH(Search!$B$3,$A1881&amp;"")),N(K1880)+1,N(K1880))))</f>
        <v>0</v>
      </c>
    </row>
    <row r="1882" customFormat="false" ht="15" hidden="false" customHeight="false" outlineLevel="0" collapsed="false">
      <c r="K1882" s="24" t="n">
        <f aca="false">IF(Search!$B$3="",0,IF($A1882="",N(K1881),IF(ISNUMBER(SEARCH(Search!$B$3,$A1882&amp;"")),N(K1881)+1,N(K1881))))</f>
        <v>0</v>
      </c>
    </row>
    <row r="1883" customFormat="false" ht="15" hidden="false" customHeight="false" outlineLevel="0" collapsed="false">
      <c r="K1883" s="24" t="n">
        <f aca="false">IF(Search!$B$3="",0,IF($A1883="",N(K1882),IF(ISNUMBER(SEARCH(Search!$B$3,$A1883&amp;"")),N(K1882)+1,N(K1882))))</f>
        <v>0</v>
      </c>
    </row>
    <row r="1884" customFormat="false" ht="15" hidden="false" customHeight="false" outlineLevel="0" collapsed="false">
      <c r="K1884" s="24" t="n">
        <f aca="false">IF(Search!$B$3="",0,IF($A1884="",N(K1883),IF(ISNUMBER(SEARCH(Search!$B$3,$A1884&amp;"")),N(K1883)+1,N(K1883))))</f>
        <v>0</v>
      </c>
    </row>
    <row r="1885" customFormat="false" ht="15" hidden="false" customHeight="false" outlineLevel="0" collapsed="false">
      <c r="K1885" s="24" t="n">
        <f aca="false">IF(Search!$B$3="",0,IF($A1885="",N(K1884),IF(ISNUMBER(SEARCH(Search!$B$3,$A1885&amp;"")),N(K1884)+1,N(K1884))))</f>
        <v>0</v>
      </c>
    </row>
    <row r="1886" customFormat="false" ht="15" hidden="false" customHeight="false" outlineLevel="0" collapsed="false">
      <c r="K1886" s="24" t="n">
        <f aca="false">IF(Search!$B$3="",0,IF($A1886="",N(K1885),IF(ISNUMBER(SEARCH(Search!$B$3,$A1886&amp;"")),N(K1885)+1,N(K1885))))</f>
        <v>0</v>
      </c>
    </row>
    <row r="1887" customFormat="false" ht="15" hidden="false" customHeight="false" outlineLevel="0" collapsed="false">
      <c r="K1887" s="24" t="n">
        <f aca="false">IF(Search!$B$3="",0,IF($A1887="",N(K1886),IF(ISNUMBER(SEARCH(Search!$B$3,$A1887&amp;"")),N(K1886)+1,N(K1886))))</f>
        <v>0</v>
      </c>
    </row>
    <row r="1888" customFormat="false" ht="15" hidden="false" customHeight="false" outlineLevel="0" collapsed="false">
      <c r="K1888" s="24" t="n">
        <f aca="false">IF(Search!$B$3="",0,IF($A1888="",N(K1887),IF(ISNUMBER(SEARCH(Search!$B$3,$A1888&amp;"")),N(K1887)+1,N(K1887))))</f>
        <v>0</v>
      </c>
    </row>
    <row r="1889" customFormat="false" ht="15" hidden="false" customHeight="false" outlineLevel="0" collapsed="false">
      <c r="K1889" s="24" t="n">
        <f aca="false">IF(Search!$B$3="",0,IF($A1889="",N(K1888),IF(ISNUMBER(SEARCH(Search!$B$3,$A1889&amp;"")),N(K1888)+1,N(K1888))))</f>
        <v>0</v>
      </c>
    </row>
    <row r="1890" customFormat="false" ht="15" hidden="false" customHeight="false" outlineLevel="0" collapsed="false">
      <c r="K1890" s="24" t="n">
        <f aca="false">IF(Search!$B$3="",0,IF($A1890="",N(K1889),IF(ISNUMBER(SEARCH(Search!$B$3,$A1890&amp;"")),N(K1889)+1,N(K1889))))</f>
        <v>0</v>
      </c>
    </row>
    <row r="1891" customFormat="false" ht="15" hidden="false" customHeight="false" outlineLevel="0" collapsed="false">
      <c r="K1891" s="24" t="n">
        <f aca="false">IF(Search!$B$3="",0,IF($A1891="",N(K1890),IF(ISNUMBER(SEARCH(Search!$B$3,$A1891&amp;"")),N(K1890)+1,N(K1890))))</f>
        <v>0</v>
      </c>
    </row>
    <row r="1892" customFormat="false" ht="15" hidden="false" customHeight="false" outlineLevel="0" collapsed="false">
      <c r="K1892" s="24" t="n">
        <f aca="false">IF(Search!$B$3="",0,IF($A1892="",N(K1891),IF(ISNUMBER(SEARCH(Search!$B$3,$A1892&amp;"")),N(K1891)+1,N(K1891))))</f>
        <v>0</v>
      </c>
    </row>
    <row r="1893" customFormat="false" ht="15" hidden="false" customHeight="false" outlineLevel="0" collapsed="false">
      <c r="K1893" s="24" t="n">
        <f aca="false">IF(Search!$B$3="",0,IF($A1893="",N(K1892),IF(ISNUMBER(SEARCH(Search!$B$3,$A1893&amp;"")),N(K1892)+1,N(K1892))))</f>
        <v>0</v>
      </c>
    </row>
    <row r="1894" customFormat="false" ht="15" hidden="false" customHeight="false" outlineLevel="0" collapsed="false">
      <c r="K1894" s="24" t="n">
        <f aca="false">IF(Search!$B$3="",0,IF($A1894="",N(K1893),IF(ISNUMBER(SEARCH(Search!$B$3,$A1894&amp;"")),N(K1893)+1,N(K1893))))</f>
        <v>0</v>
      </c>
    </row>
    <row r="1895" customFormat="false" ht="15" hidden="false" customHeight="false" outlineLevel="0" collapsed="false">
      <c r="K1895" s="24" t="n">
        <f aca="false">IF(Search!$B$3="",0,IF($A1895="",N(K1894),IF(ISNUMBER(SEARCH(Search!$B$3,$A1895&amp;"")),N(K1894)+1,N(K1894))))</f>
        <v>0</v>
      </c>
    </row>
    <row r="1896" customFormat="false" ht="15" hidden="false" customHeight="false" outlineLevel="0" collapsed="false">
      <c r="K1896" s="24" t="n">
        <f aca="false">IF(Search!$B$3="",0,IF($A1896="",N(K1895),IF(ISNUMBER(SEARCH(Search!$B$3,$A1896&amp;"")),N(K1895)+1,N(K1895))))</f>
        <v>0</v>
      </c>
    </row>
    <row r="1897" customFormat="false" ht="15" hidden="false" customHeight="false" outlineLevel="0" collapsed="false">
      <c r="K1897" s="24" t="n">
        <f aca="false">IF(Search!$B$3="",0,IF($A1897="",N(K1896),IF(ISNUMBER(SEARCH(Search!$B$3,$A1897&amp;"")),N(K1896)+1,N(K1896))))</f>
        <v>0</v>
      </c>
    </row>
    <row r="1898" customFormat="false" ht="15" hidden="false" customHeight="false" outlineLevel="0" collapsed="false">
      <c r="K1898" s="24" t="n">
        <f aca="false">IF(Search!$B$3="",0,IF($A1898="",N(K1897),IF(ISNUMBER(SEARCH(Search!$B$3,$A1898&amp;"")),N(K1897)+1,N(K1897))))</f>
        <v>0</v>
      </c>
    </row>
    <row r="1899" customFormat="false" ht="15" hidden="false" customHeight="false" outlineLevel="0" collapsed="false">
      <c r="K1899" s="24" t="n">
        <f aca="false">IF(Search!$B$3="",0,IF($A1899="",N(K1898),IF(ISNUMBER(SEARCH(Search!$B$3,$A1899&amp;"")),N(K1898)+1,N(K1898))))</f>
        <v>0</v>
      </c>
    </row>
    <row r="1900" customFormat="false" ht="15" hidden="false" customHeight="false" outlineLevel="0" collapsed="false">
      <c r="K1900" s="24" t="n">
        <f aca="false">IF(Search!$B$3="",0,IF($A1900="",N(K1899),IF(ISNUMBER(SEARCH(Search!$B$3,$A1900&amp;"")),N(K1899)+1,N(K1899))))</f>
        <v>0</v>
      </c>
    </row>
    <row r="1901" customFormat="false" ht="15" hidden="false" customHeight="false" outlineLevel="0" collapsed="false">
      <c r="K1901" s="24" t="n">
        <f aca="false">IF(Search!$B$3="",0,IF($A1901="",N(K1900),IF(ISNUMBER(SEARCH(Search!$B$3,$A1901&amp;"")),N(K1900)+1,N(K1900))))</f>
        <v>0</v>
      </c>
    </row>
    <row r="1902" customFormat="false" ht="15" hidden="false" customHeight="false" outlineLevel="0" collapsed="false">
      <c r="K1902" s="24" t="n">
        <f aca="false">IF(Search!$B$3="",0,IF($A1902="",N(K1901),IF(ISNUMBER(SEARCH(Search!$B$3,$A1902&amp;"")),N(K1901)+1,N(K1901))))</f>
        <v>0</v>
      </c>
    </row>
    <row r="1903" customFormat="false" ht="15" hidden="false" customHeight="false" outlineLevel="0" collapsed="false">
      <c r="K1903" s="24" t="n">
        <f aca="false">IF(Search!$B$3="",0,IF($A1903="",N(K1902),IF(ISNUMBER(SEARCH(Search!$B$3,$A1903&amp;"")),N(K1902)+1,N(K1902))))</f>
        <v>0</v>
      </c>
    </row>
    <row r="1904" customFormat="false" ht="15" hidden="false" customHeight="false" outlineLevel="0" collapsed="false">
      <c r="K1904" s="24" t="n">
        <f aca="false">IF(Search!$B$3="",0,IF($A1904="",N(K1903),IF(ISNUMBER(SEARCH(Search!$B$3,$A1904&amp;"")),N(K1903)+1,N(K1903))))</f>
        <v>0</v>
      </c>
    </row>
    <row r="1905" customFormat="false" ht="15" hidden="false" customHeight="false" outlineLevel="0" collapsed="false">
      <c r="K1905" s="24" t="n">
        <f aca="false">IF(Search!$B$3="",0,IF($A1905="",N(K1904),IF(ISNUMBER(SEARCH(Search!$B$3,$A1905&amp;"")),N(K1904)+1,N(K1904))))</f>
        <v>0</v>
      </c>
    </row>
    <row r="1906" customFormat="false" ht="15" hidden="false" customHeight="false" outlineLevel="0" collapsed="false">
      <c r="K1906" s="24" t="n">
        <f aca="false">IF(Search!$B$3="",0,IF($A1906="",N(K1905),IF(ISNUMBER(SEARCH(Search!$B$3,$A1906&amp;"")),N(K1905)+1,N(K1905))))</f>
        <v>0</v>
      </c>
    </row>
    <row r="1907" customFormat="false" ht="15" hidden="false" customHeight="false" outlineLevel="0" collapsed="false">
      <c r="K1907" s="24" t="n">
        <f aca="false">IF(Search!$B$3="",0,IF($A1907="",N(K1906),IF(ISNUMBER(SEARCH(Search!$B$3,$A1907&amp;"")),N(K1906)+1,N(K1906))))</f>
        <v>0</v>
      </c>
    </row>
    <row r="1908" customFormat="false" ht="15" hidden="false" customHeight="false" outlineLevel="0" collapsed="false">
      <c r="K1908" s="24" t="n">
        <f aca="false">IF(Search!$B$3="",0,IF($A1908="",N(K1907),IF(ISNUMBER(SEARCH(Search!$B$3,$A1908&amp;"")),N(K1907)+1,N(K1907))))</f>
        <v>0</v>
      </c>
    </row>
    <row r="1909" customFormat="false" ht="15" hidden="false" customHeight="false" outlineLevel="0" collapsed="false">
      <c r="K1909" s="24" t="n">
        <f aca="false">IF(Search!$B$3="",0,IF($A1909="",N(K1908),IF(ISNUMBER(SEARCH(Search!$B$3,$A1909&amp;"")),N(K1908)+1,N(K1908))))</f>
        <v>0</v>
      </c>
    </row>
    <row r="1910" customFormat="false" ht="15" hidden="false" customHeight="false" outlineLevel="0" collapsed="false">
      <c r="K1910" s="24" t="n">
        <f aca="false">IF(Search!$B$3="",0,IF($A1910="",N(K1909),IF(ISNUMBER(SEARCH(Search!$B$3,$A1910&amp;"")),N(K1909)+1,N(K1909))))</f>
        <v>0</v>
      </c>
    </row>
    <row r="1911" customFormat="false" ht="15" hidden="false" customHeight="false" outlineLevel="0" collapsed="false">
      <c r="K1911" s="24" t="n">
        <f aca="false">IF(Search!$B$3="",0,IF($A1911="",N(K1910),IF(ISNUMBER(SEARCH(Search!$B$3,$A1911&amp;"")),N(K1910)+1,N(K1910))))</f>
        <v>0</v>
      </c>
    </row>
    <row r="1912" customFormat="false" ht="15" hidden="false" customHeight="false" outlineLevel="0" collapsed="false">
      <c r="K1912" s="24" t="n">
        <f aca="false">IF(Search!$B$3="",0,IF($A1912="",N(K1911),IF(ISNUMBER(SEARCH(Search!$B$3,$A1912&amp;"")),N(K1911)+1,N(K1911))))</f>
        <v>0</v>
      </c>
    </row>
    <row r="1913" customFormat="false" ht="15" hidden="false" customHeight="false" outlineLevel="0" collapsed="false">
      <c r="K1913" s="24" t="n">
        <f aca="false">IF(Search!$B$3="",0,IF($A1913="",N(K1912),IF(ISNUMBER(SEARCH(Search!$B$3,$A1913&amp;"")),N(K1912)+1,N(K1912))))</f>
        <v>0</v>
      </c>
    </row>
    <row r="1914" customFormat="false" ht="15" hidden="false" customHeight="false" outlineLevel="0" collapsed="false">
      <c r="K1914" s="24" t="n">
        <f aca="false">IF(Search!$B$3="",0,IF($A1914="",N(K1913),IF(ISNUMBER(SEARCH(Search!$B$3,$A1914&amp;"")),N(K1913)+1,N(K1913))))</f>
        <v>0</v>
      </c>
    </row>
    <row r="1915" customFormat="false" ht="15" hidden="false" customHeight="false" outlineLevel="0" collapsed="false">
      <c r="K1915" s="24" t="n">
        <f aca="false">IF(Search!$B$3="",0,IF($A1915="",N(K1914),IF(ISNUMBER(SEARCH(Search!$B$3,$A1915&amp;"")),N(K1914)+1,N(K1914))))</f>
        <v>0</v>
      </c>
    </row>
    <row r="1916" customFormat="false" ht="15" hidden="false" customHeight="false" outlineLevel="0" collapsed="false">
      <c r="K1916" s="24" t="n">
        <f aca="false">IF(Search!$B$3="",0,IF($A1916="",N(K1915),IF(ISNUMBER(SEARCH(Search!$B$3,$A1916&amp;"")),N(K1915)+1,N(K1915))))</f>
        <v>0</v>
      </c>
    </row>
    <row r="1917" customFormat="false" ht="15" hidden="false" customHeight="false" outlineLevel="0" collapsed="false">
      <c r="K1917" s="24" t="n">
        <f aca="false">IF(Search!$B$3="",0,IF($A1917="",N(K1916),IF(ISNUMBER(SEARCH(Search!$B$3,$A1917&amp;"")),N(K1916)+1,N(K1916))))</f>
        <v>0</v>
      </c>
    </row>
    <row r="1918" customFormat="false" ht="15" hidden="false" customHeight="false" outlineLevel="0" collapsed="false">
      <c r="K1918" s="24" t="n">
        <f aca="false">IF(Search!$B$3="",0,IF($A1918="",N(K1917),IF(ISNUMBER(SEARCH(Search!$B$3,$A1918&amp;"")),N(K1917)+1,N(K1917))))</f>
        <v>0</v>
      </c>
    </row>
    <row r="1919" customFormat="false" ht="15" hidden="false" customHeight="false" outlineLevel="0" collapsed="false">
      <c r="K1919" s="24" t="n">
        <f aca="false">IF(Search!$B$3="",0,IF($A1919="",N(K1918),IF(ISNUMBER(SEARCH(Search!$B$3,$A1919&amp;"")),N(K1918)+1,N(K1918))))</f>
        <v>0</v>
      </c>
    </row>
    <row r="1920" customFormat="false" ht="15" hidden="false" customHeight="false" outlineLevel="0" collapsed="false">
      <c r="K1920" s="24" t="n">
        <f aca="false">IF(Search!$B$3="",0,IF($A1920="",N(K1919),IF(ISNUMBER(SEARCH(Search!$B$3,$A1920&amp;"")),N(K1919)+1,N(K1919))))</f>
        <v>0</v>
      </c>
    </row>
    <row r="1921" customFormat="false" ht="15" hidden="false" customHeight="false" outlineLevel="0" collapsed="false">
      <c r="K1921" s="24" t="n">
        <f aca="false">IF(Search!$B$3="",0,IF($A1921="",N(K1920),IF(ISNUMBER(SEARCH(Search!$B$3,$A1921&amp;"")),N(K1920)+1,N(K1920))))</f>
        <v>0</v>
      </c>
    </row>
    <row r="1922" customFormat="false" ht="15" hidden="false" customHeight="false" outlineLevel="0" collapsed="false">
      <c r="K1922" s="24" t="n">
        <f aca="false">IF(Search!$B$3="",0,IF($A1922="",N(K1921),IF(ISNUMBER(SEARCH(Search!$B$3,$A1922&amp;"")),N(K1921)+1,N(K1921))))</f>
        <v>0</v>
      </c>
    </row>
    <row r="1923" customFormat="false" ht="15" hidden="false" customHeight="false" outlineLevel="0" collapsed="false">
      <c r="K1923" s="24" t="n">
        <f aca="false">IF(Search!$B$3="",0,IF($A1923="",N(K1922),IF(ISNUMBER(SEARCH(Search!$B$3,$A1923&amp;"")),N(K1922)+1,N(K1922))))</f>
        <v>0</v>
      </c>
    </row>
    <row r="1924" customFormat="false" ht="15" hidden="false" customHeight="false" outlineLevel="0" collapsed="false">
      <c r="K1924" s="24" t="n">
        <f aca="false">IF(Search!$B$3="",0,IF($A1924="",N(K1923),IF(ISNUMBER(SEARCH(Search!$B$3,$A1924&amp;"")),N(K1923)+1,N(K1923))))</f>
        <v>0</v>
      </c>
    </row>
    <row r="1925" customFormat="false" ht="15" hidden="false" customHeight="false" outlineLevel="0" collapsed="false">
      <c r="K1925" s="24" t="n">
        <f aca="false">IF(Search!$B$3="",0,IF($A1925="",N(K1924),IF(ISNUMBER(SEARCH(Search!$B$3,$A1925&amp;"")),N(K1924)+1,N(K1924))))</f>
        <v>0</v>
      </c>
    </row>
    <row r="1926" customFormat="false" ht="15" hidden="false" customHeight="false" outlineLevel="0" collapsed="false">
      <c r="K1926" s="24" t="n">
        <f aca="false">IF(Search!$B$3="",0,IF($A1926="",N(K1925),IF(ISNUMBER(SEARCH(Search!$B$3,$A1926&amp;"")),N(K1925)+1,N(K1925))))</f>
        <v>0</v>
      </c>
    </row>
    <row r="1927" customFormat="false" ht="15" hidden="false" customHeight="false" outlineLevel="0" collapsed="false">
      <c r="K1927" s="24" t="n">
        <f aca="false">IF(Search!$B$3="",0,IF($A1927="",N(K1926),IF(ISNUMBER(SEARCH(Search!$B$3,$A1927&amp;"")),N(K1926)+1,N(K1926))))</f>
        <v>0</v>
      </c>
    </row>
    <row r="1928" customFormat="false" ht="15" hidden="false" customHeight="false" outlineLevel="0" collapsed="false">
      <c r="K1928" s="24" t="n">
        <f aca="false">IF(Search!$B$3="",0,IF($A1928="",N(K1927),IF(ISNUMBER(SEARCH(Search!$B$3,$A1928&amp;"")),N(K1927)+1,N(K1927))))</f>
        <v>0</v>
      </c>
    </row>
    <row r="1929" customFormat="false" ht="15" hidden="false" customHeight="false" outlineLevel="0" collapsed="false">
      <c r="K1929" s="24" t="n">
        <f aca="false">IF(Search!$B$3="",0,IF($A1929="",N(K1928),IF(ISNUMBER(SEARCH(Search!$B$3,$A1929&amp;"")),N(K1928)+1,N(K1928))))</f>
        <v>0</v>
      </c>
    </row>
    <row r="1930" customFormat="false" ht="15" hidden="false" customHeight="false" outlineLevel="0" collapsed="false">
      <c r="K1930" s="24" t="n">
        <f aca="false">IF(Search!$B$3="",0,IF($A1930="",N(K1929),IF(ISNUMBER(SEARCH(Search!$B$3,$A1930&amp;"")),N(K1929)+1,N(K1929))))</f>
        <v>0</v>
      </c>
    </row>
    <row r="1931" customFormat="false" ht="15" hidden="false" customHeight="false" outlineLevel="0" collapsed="false">
      <c r="K1931" s="24" t="n">
        <f aca="false">IF(Search!$B$3="",0,IF($A1931="",N(K1930),IF(ISNUMBER(SEARCH(Search!$B$3,$A1931&amp;"")),N(K1930)+1,N(K1930))))</f>
        <v>0</v>
      </c>
    </row>
    <row r="1932" customFormat="false" ht="15" hidden="false" customHeight="false" outlineLevel="0" collapsed="false">
      <c r="K1932" s="24" t="n">
        <f aca="false">IF(Search!$B$3="",0,IF($A1932="",N(K1931),IF(ISNUMBER(SEARCH(Search!$B$3,$A1932&amp;"")),N(K1931)+1,N(K1931))))</f>
        <v>0</v>
      </c>
    </row>
    <row r="1933" customFormat="false" ht="15" hidden="false" customHeight="false" outlineLevel="0" collapsed="false">
      <c r="K1933" s="24" t="n">
        <f aca="false">IF(Search!$B$3="",0,IF($A1933="",N(K1932),IF(ISNUMBER(SEARCH(Search!$B$3,$A1933&amp;"")),N(K1932)+1,N(K1932))))</f>
        <v>0</v>
      </c>
    </row>
    <row r="1934" customFormat="false" ht="15" hidden="false" customHeight="false" outlineLevel="0" collapsed="false">
      <c r="K1934" s="24" t="n">
        <f aca="false">IF(Search!$B$3="",0,IF($A1934="",N(K1933),IF(ISNUMBER(SEARCH(Search!$B$3,$A1934&amp;"")),N(K1933)+1,N(K1933))))</f>
        <v>0</v>
      </c>
    </row>
    <row r="1935" customFormat="false" ht="15" hidden="false" customHeight="false" outlineLevel="0" collapsed="false">
      <c r="K1935" s="24" t="n">
        <f aca="false">IF(Search!$B$3="",0,IF($A1935="",N(K1934),IF(ISNUMBER(SEARCH(Search!$B$3,$A1935&amp;"")),N(K1934)+1,N(K1934))))</f>
        <v>0</v>
      </c>
    </row>
    <row r="1936" customFormat="false" ht="15" hidden="false" customHeight="false" outlineLevel="0" collapsed="false">
      <c r="K1936" s="24" t="n">
        <f aca="false">IF(Search!$B$3="",0,IF($A1936="",N(K1935),IF(ISNUMBER(SEARCH(Search!$B$3,$A1936&amp;"")),N(K1935)+1,N(K1935))))</f>
        <v>0</v>
      </c>
    </row>
    <row r="1937" customFormat="false" ht="15" hidden="false" customHeight="false" outlineLevel="0" collapsed="false">
      <c r="K1937" s="24" t="n">
        <f aca="false">IF(Search!$B$3="",0,IF($A1937="",N(K1936),IF(ISNUMBER(SEARCH(Search!$B$3,$A1937&amp;"")),N(K1936)+1,N(K1936))))</f>
        <v>0</v>
      </c>
    </row>
    <row r="1938" customFormat="false" ht="15" hidden="false" customHeight="false" outlineLevel="0" collapsed="false">
      <c r="K1938" s="24" t="n">
        <f aca="false">IF(Search!$B$3="",0,IF($A1938="",N(K1937),IF(ISNUMBER(SEARCH(Search!$B$3,$A1938&amp;"")),N(K1937)+1,N(K1937))))</f>
        <v>0</v>
      </c>
    </row>
    <row r="1939" customFormat="false" ht="15" hidden="false" customHeight="false" outlineLevel="0" collapsed="false">
      <c r="K1939" s="24" t="n">
        <f aca="false">IF(Search!$B$3="",0,IF($A1939="",N(K1938),IF(ISNUMBER(SEARCH(Search!$B$3,$A1939&amp;"")),N(K1938)+1,N(K1938))))</f>
        <v>0</v>
      </c>
    </row>
    <row r="1940" customFormat="false" ht="15" hidden="false" customHeight="false" outlineLevel="0" collapsed="false">
      <c r="K1940" s="24" t="n">
        <f aca="false">IF(Search!$B$3="",0,IF($A1940="",N(K1939),IF(ISNUMBER(SEARCH(Search!$B$3,$A1940&amp;"")),N(K1939)+1,N(K1939))))</f>
        <v>0</v>
      </c>
    </row>
    <row r="1941" customFormat="false" ht="15" hidden="false" customHeight="false" outlineLevel="0" collapsed="false">
      <c r="K1941" s="24" t="n">
        <f aca="false">IF(Search!$B$3="",0,IF($A1941="",N(K1940),IF(ISNUMBER(SEARCH(Search!$B$3,$A1941&amp;"")),N(K1940)+1,N(K1940))))</f>
        <v>0</v>
      </c>
    </row>
    <row r="1942" customFormat="false" ht="15" hidden="false" customHeight="false" outlineLevel="0" collapsed="false">
      <c r="K1942" s="24" t="n">
        <f aca="false">IF(Search!$B$3="",0,IF($A1942="",N(K1941),IF(ISNUMBER(SEARCH(Search!$B$3,$A1942&amp;"")),N(K1941)+1,N(K1941))))</f>
        <v>0</v>
      </c>
    </row>
    <row r="1943" customFormat="false" ht="15" hidden="false" customHeight="false" outlineLevel="0" collapsed="false">
      <c r="K1943" s="24" t="n">
        <f aca="false">IF(Search!$B$3="",0,IF($A1943="",N(K1942),IF(ISNUMBER(SEARCH(Search!$B$3,$A1943&amp;"")),N(K1942)+1,N(K1942))))</f>
        <v>0</v>
      </c>
    </row>
    <row r="1944" customFormat="false" ht="15" hidden="false" customHeight="false" outlineLevel="0" collapsed="false">
      <c r="K1944" s="24" t="n">
        <f aca="false">IF(Search!$B$3="",0,IF($A1944="",N(K1943),IF(ISNUMBER(SEARCH(Search!$B$3,$A1944&amp;"")),N(K1943)+1,N(K1943))))</f>
        <v>0</v>
      </c>
    </row>
    <row r="1945" customFormat="false" ht="15" hidden="false" customHeight="false" outlineLevel="0" collapsed="false">
      <c r="K1945" s="24" t="n">
        <f aca="false">IF(Search!$B$3="",0,IF($A1945="",N(K1944),IF(ISNUMBER(SEARCH(Search!$B$3,$A1945&amp;"")),N(K1944)+1,N(K1944))))</f>
        <v>0</v>
      </c>
    </row>
    <row r="1946" customFormat="false" ht="15" hidden="false" customHeight="false" outlineLevel="0" collapsed="false">
      <c r="K1946" s="24" t="n">
        <f aca="false">IF(Search!$B$3="",0,IF($A1946="",N(K1945),IF(ISNUMBER(SEARCH(Search!$B$3,$A1946&amp;"")),N(K1945)+1,N(K1945))))</f>
        <v>0</v>
      </c>
    </row>
    <row r="1947" customFormat="false" ht="15" hidden="false" customHeight="false" outlineLevel="0" collapsed="false">
      <c r="K1947" s="24" t="n">
        <f aca="false">IF(Search!$B$3="",0,IF($A1947="",N(K1946),IF(ISNUMBER(SEARCH(Search!$B$3,$A1947&amp;"")),N(K1946)+1,N(K1946))))</f>
        <v>0</v>
      </c>
    </row>
    <row r="1948" customFormat="false" ht="15" hidden="false" customHeight="false" outlineLevel="0" collapsed="false">
      <c r="K1948" s="24" t="n">
        <f aca="false">IF(Search!$B$3="",0,IF($A1948="",N(K1947),IF(ISNUMBER(SEARCH(Search!$B$3,$A1948&amp;"")),N(K1947)+1,N(K1947))))</f>
        <v>0</v>
      </c>
    </row>
    <row r="1949" customFormat="false" ht="15" hidden="false" customHeight="false" outlineLevel="0" collapsed="false">
      <c r="K1949" s="24" t="n">
        <f aca="false">IF(Search!$B$3="",0,IF($A1949="",N(K1948),IF(ISNUMBER(SEARCH(Search!$B$3,$A1949&amp;"")),N(K1948)+1,N(K1948))))</f>
        <v>0</v>
      </c>
    </row>
    <row r="1950" customFormat="false" ht="15" hidden="false" customHeight="false" outlineLevel="0" collapsed="false">
      <c r="K1950" s="24" t="n">
        <f aca="false">IF(Search!$B$3="",0,IF($A1950="",N(K1949),IF(ISNUMBER(SEARCH(Search!$B$3,$A1950&amp;"")),N(K1949)+1,N(K1949))))</f>
        <v>0</v>
      </c>
    </row>
    <row r="1951" customFormat="false" ht="15" hidden="false" customHeight="false" outlineLevel="0" collapsed="false">
      <c r="K1951" s="24" t="n">
        <f aca="false">IF(Search!$B$3="",0,IF($A1951="",N(K1950),IF(ISNUMBER(SEARCH(Search!$B$3,$A1951&amp;"")),N(K1950)+1,N(K1950))))</f>
        <v>0</v>
      </c>
    </row>
    <row r="1952" customFormat="false" ht="15" hidden="false" customHeight="false" outlineLevel="0" collapsed="false">
      <c r="K1952" s="24" t="n">
        <f aca="false">IF(Search!$B$3="",0,IF($A1952="",N(K1951),IF(ISNUMBER(SEARCH(Search!$B$3,$A1952&amp;"")),N(K1951)+1,N(K1951))))</f>
        <v>0</v>
      </c>
    </row>
    <row r="1953" customFormat="false" ht="15" hidden="false" customHeight="false" outlineLevel="0" collapsed="false">
      <c r="K1953" s="24" t="n">
        <f aca="false">IF(Search!$B$3="",0,IF($A1953="",N(K1952),IF(ISNUMBER(SEARCH(Search!$B$3,$A1953&amp;"")),N(K1952)+1,N(K1952))))</f>
        <v>0</v>
      </c>
    </row>
    <row r="1954" customFormat="false" ht="15" hidden="false" customHeight="false" outlineLevel="0" collapsed="false">
      <c r="K1954" s="24" t="n">
        <f aca="false">IF(Search!$B$3="",0,IF($A1954="",N(K1953),IF(ISNUMBER(SEARCH(Search!$B$3,$A1954&amp;"")),N(K1953)+1,N(K1953))))</f>
        <v>0</v>
      </c>
    </row>
    <row r="1955" customFormat="false" ht="15" hidden="false" customHeight="false" outlineLevel="0" collapsed="false">
      <c r="K1955" s="24" t="n">
        <f aca="false">IF(Search!$B$3="",0,IF($A1955="",N(K1954),IF(ISNUMBER(SEARCH(Search!$B$3,$A1955&amp;"")),N(K1954)+1,N(K1954))))</f>
        <v>0</v>
      </c>
    </row>
    <row r="1956" customFormat="false" ht="15" hidden="false" customHeight="false" outlineLevel="0" collapsed="false">
      <c r="K1956" s="24" t="n">
        <f aca="false">IF(Search!$B$3="",0,IF($A1956="",N(K1955),IF(ISNUMBER(SEARCH(Search!$B$3,$A1956&amp;"")),N(K1955)+1,N(K1955))))</f>
        <v>0</v>
      </c>
    </row>
    <row r="1957" customFormat="false" ht="15" hidden="false" customHeight="false" outlineLevel="0" collapsed="false">
      <c r="K1957" s="24" t="n">
        <f aca="false">IF(Search!$B$3="",0,IF($A1957="",N(K1956),IF(ISNUMBER(SEARCH(Search!$B$3,$A1957&amp;"")),N(K1956)+1,N(K1956))))</f>
        <v>0</v>
      </c>
    </row>
    <row r="1958" customFormat="false" ht="15" hidden="false" customHeight="false" outlineLevel="0" collapsed="false">
      <c r="K1958" s="24" t="n">
        <f aca="false">IF(Search!$B$3="",0,IF($A1958="",N(K1957),IF(ISNUMBER(SEARCH(Search!$B$3,$A1958&amp;"")),N(K1957)+1,N(K1957))))</f>
        <v>0</v>
      </c>
    </row>
    <row r="1959" customFormat="false" ht="15" hidden="false" customHeight="false" outlineLevel="0" collapsed="false">
      <c r="K1959" s="24" t="n">
        <f aca="false">IF(Search!$B$3="",0,IF($A1959="",N(K1958),IF(ISNUMBER(SEARCH(Search!$B$3,$A1959&amp;"")),N(K1958)+1,N(K1958))))</f>
        <v>0</v>
      </c>
    </row>
    <row r="1960" customFormat="false" ht="15" hidden="false" customHeight="false" outlineLevel="0" collapsed="false">
      <c r="K1960" s="24" t="n">
        <f aca="false">IF(Search!$B$3="",0,IF($A1960="",N(K1959),IF(ISNUMBER(SEARCH(Search!$B$3,$A1960&amp;"")),N(K1959)+1,N(K1959))))</f>
        <v>0</v>
      </c>
    </row>
    <row r="1961" customFormat="false" ht="15" hidden="false" customHeight="false" outlineLevel="0" collapsed="false">
      <c r="K1961" s="24" t="n">
        <f aca="false">IF(Search!$B$3="",0,IF($A1961="",N(K1960),IF(ISNUMBER(SEARCH(Search!$B$3,$A1961&amp;"")),N(K1960)+1,N(K1960))))</f>
        <v>0</v>
      </c>
    </row>
    <row r="1962" customFormat="false" ht="15" hidden="false" customHeight="false" outlineLevel="0" collapsed="false">
      <c r="K1962" s="24" t="n">
        <f aca="false">IF(Search!$B$3="",0,IF($A1962="",N(K1961),IF(ISNUMBER(SEARCH(Search!$B$3,$A1962&amp;"")),N(K1961)+1,N(K1961))))</f>
        <v>0</v>
      </c>
    </row>
    <row r="1963" customFormat="false" ht="15" hidden="false" customHeight="false" outlineLevel="0" collapsed="false">
      <c r="K1963" s="24" t="n">
        <f aca="false">IF(Search!$B$3="",0,IF($A1963="",N(K1962),IF(ISNUMBER(SEARCH(Search!$B$3,$A1963&amp;"")),N(K1962)+1,N(K1962))))</f>
        <v>0</v>
      </c>
    </row>
    <row r="1964" customFormat="false" ht="15" hidden="false" customHeight="false" outlineLevel="0" collapsed="false">
      <c r="K1964" s="24" t="n">
        <f aca="false">IF(Search!$B$3="",0,IF($A1964="",N(K1963),IF(ISNUMBER(SEARCH(Search!$B$3,$A1964&amp;"")),N(K1963)+1,N(K1963))))</f>
        <v>0</v>
      </c>
    </row>
    <row r="1965" customFormat="false" ht="15" hidden="false" customHeight="false" outlineLevel="0" collapsed="false">
      <c r="K1965" s="24" t="n">
        <f aca="false">IF(Search!$B$3="",0,IF($A1965="",N(K1964),IF(ISNUMBER(SEARCH(Search!$B$3,$A1965&amp;"")),N(K1964)+1,N(K1964))))</f>
        <v>0</v>
      </c>
    </row>
    <row r="1966" customFormat="false" ht="15" hidden="false" customHeight="false" outlineLevel="0" collapsed="false">
      <c r="K1966" s="24" t="n">
        <f aca="false">IF(Search!$B$3="",0,IF($A1966="",N(K1965),IF(ISNUMBER(SEARCH(Search!$B$3,$A1966&amp;"")),N(K1965)+1,N(K1965))))</f>
        <v>0</v>
      </c>
    </row>
    <row r="1967" customFormat="false" ht="15" hidden="false" customHeight="false" outlineLevel="0" collapsed="false">
      <c r="K1967" s="24" t="n">
        <f aca="false">IF(Search!$B$3="",0,IF($A1967="",N(K1966),IF(ISNUMBER(SEARCH(Search!$B$3,$A1967&amp;"")),N(K1966)+1,N(K1966))))</f>
        <v>0</v>
      </c>
    </row>
    <row r="1968" customFormat="false" ht="15" hidden="false" customHeight="false" outlineLevel="0" collapsed="false">
      <c r="K1968" s="24" t="n">
        <f aca="false">IF(Search!$B$3="",0,IF($A1968="",N(K1967),IF(ISNUMBER(SEARCH(Search!$B$3,$A1968&amp;"")),N(K1967)+1,N(K1967))))</f>
        <v>0</v>
      </c>
    </row>
    <row r="1969" customFormat="false" ht="15" hidden="false" customHeight="false" outlineLevel="0" collapsed="false">
      <c r="K1969" s="24" t="n">
        <f aca="false">IF(Search!$B$3="",0,IF($A1969="",N(K1968),IF(ISNUMBER(SEARCH(Search!$B$3,$A1969&amp;"")),N(K1968)+1,N(K1968))))</f>
        <v>0</v>
      </c>
    </row>
    <row r="1970" customFormat="false" ht="15" hidden="false" customHeight="false" outlineLevel="0" collapsed="false">
      <c r="K1970" s="24" t="n">
        <f aca="false">IF(Search!$B$3="",0,IF($A1970="",N(K1969),IF(ISNUMBER(SEARCH(Search!$B$3,$A1970&amp;"")),N(K1969)+1,N(K1969))))</f>
        <v>0</v>
      </c>
    </row>
    <row r="1971" customFormat="false" ht="15" hidden="false" customHeight="false" outlineLevel="0" collapsed="false">
      <c r="K1971" s="24" t="n">
        <f aca="false">IF(Search!$B$3="",0,IF($A1971="",N(K1970),IF(ISNUMBER(SEARCH(Search!$B$3,$A1971&amp;"")),N(K1970)+1,N(K1970))))</f>
        <v>0</v>
      </c>
    </row>
    <row r="1972" customFormat="false" ht="15" hidden="false" customHeight="false" outlineLevel="0" collapsed="false">
      <c r="K1972" s="24" t="n">
        <f aca="false">IF(Search!$B$3="",0,IF($A1972="",N(K1971),IF(ISNUMBER(SEARCH(Search!$B$3,$A1972&amp;"")),N(K1971)+1,N(K1971))))</f>
        <v>0</v>
      </c>
    </row>
    <row r="1973" customFormat="false" ht="15" hidden="false" customHeight="false" outlineLevel="0" collapsed="false">
      <c r="K1973" s="24" t="n">
        <f aca="false">IF(Search!$B$3="",0,IF($A1973="",N(K1972),IF(ISNUMBER(SEARCH(Search!$B$3,$A1973&amp;"")),N(K1972)+1,N(K1972))))</f>
        <v>0</v>
      </c>
    </row>
    <row r="1974" customFormat="false" ht="15" hidden="false" customHeight="false" outlineLevel="0" collapsed="false">
      <c r="K1974" s="24" t="n">
        <f aca="false">IF(Search!$B$3="",0,IF($A1974="",N(K1973),IF(ISNUMBER(SEARCH(Search!$B$3,$A1974&amp;"")),N(K1973)+1,N(K1973))))</f>
        <v>0</v>
      </c>
    </row>
    <row r="1975" customFormat="false" ht="15" hidden="false" customHeight="false" outlineLevel="0" collapsed="false">
      <c r="K1975" s="24" t="n">
        <f aca="false">IF(Search!$B$3="",0,IF($A1975="",N(K1974),IF(ISNUMBER(SEARCH(Search!$B$3,$A1975&amp;"")),N(K1974)+1,N(K1974))))</f>
        <v>0</v>
      </c>
    </row>
    <row r="1976" customFormat="false" ht="15" hidden="false" customHeight="false" outlineLevel="0" collapsed="false">
      <c r="K1976" s="24" t="n">
        <f aca="false">IF(Search!$B$3="",0,IF($A1976="",N(K1975),IF(ISNUMBER(SEARCH(Search!$B$3,$A1976&amp;"")),N(K1975)+1,N(K1975))))</f>
        <v>0</v>
      </c>
    </row>
    <row r="1977" customFormat="false" ht="15" hidden="false" customHeight="false" outlineLevel="0" collapsed="false">
      <c r="K1977" s="24" t="n">
        <f aca="false">IF(Search!$B$3="",0,IF($A1977="",N(K1976),IF(ISNUMBER(SEARCH(Search!$B$3,$A1977&amp;"")),N(K1976)+1,N(K1976))))</f>
        <v>0</v>
      </c>
    </row>
    <row r="1978" customFormat="false" ht="15" hidden="false" customHeight="false" outlineLevel="0" collapsed="false">
      <c r="K1978" s="24" t="n">
        <f aca="false">IF(Search!$B$3="",0,IF($A1978="",N(K1977),IF(ISNUMBER(SEARCH(Search!$B$3,$A1978&amp;"")),N(K1977)+1,N(K1977))))</f>
        <v>0</v>
      </c>
    </row>
    <row r="1979" customFormat="false" ht="15" hidden="false" customHeight="false" outlineLevel="0" collapsed="false">
      <c r="K1979" s="24" t="n">
        <f aca="false">IF(Search!$B$3="",0,IF($A1979="",N(K1978),IF(ISNUMBER(SEARCH(Search!$B$3,$A1979&amp;"")),N(K1978)+1,N(K1978))))</f>
        <v>0</v>
      </c>
    </row>
    <row r="1980" customFormat="false" ht="15" hidden="false" customHeight="false" outlineLevel="0" collapsed="false">
      <c r="K1980" s="24" t="n">
        <f aca="false">IF(Search!$B$3="",0,IF($A1980="",N(K1979),IF(ISNUMBER(SEARCH(Search!$B$3,$A1980&amp;"")),N(K1979)+1,N(K1979))))</f>
        <v>0</v>
      </c>
    </row>
    <row r="1981" customFormat="false" ht="15" hidden="false" customHeight="false" outlineLevel="0" collapsed="false">
      <c r="K1981" s="24" t="n">
        <f aca="false">IF(Search!$B$3="",0,IF($A1981="",N(K1980),IF(ISNUMBER(SEARCH(Search!$B$3,$A1981&amp;"")),N(K1980)+1,N(K1980))))</f>
        <v>0</v>
      </c>
    </row>
    <row r="1982" customFormat="false" ht="15" hidden="false" customHeight="false" outlineLevel="0" collapsed="false">
      <c r="K1982" s="24" t="n">
        <f aca="false">IF(Search!$B$3="",0,IF($A1982="",N(K1981),IF(ISNUMBER(SEARCH(Search!$B$3,$A1982&amp;"")),N(K1981)+1,N(K1981))))</f>
        <v>0</v>
      </c>
    </row>
    <row r="1983" customFormat="false" ht="15" hidden="false" customHeight="false" outlineLevel="0" collapsed="false">
      <c r="K1983" s="24" t="n">
        <f aca="false">IF(Search!$B$3="",0,IF($A1983="",N(K1982),IF(ISNUMBER(SEARCH(Search!$B$3,$A1983&amp;"")),N(K1982)+1,N(K1982))))</f>
        <v>0</v>
      </c>
    </row>
    <row r="1984" customFormat="false" ht="15" hidden="false" customHeight="false" outlineLevel="0" collapsed="false">
      <c r="K1984" s="24" t="n">
        <f aca="false">IF(Search!$B$3="",0,IF($A1984="",N(K1983),IF(ISNUMBER(SEARCH(Search!$B$3,$A1984&amp;"")),N(K1983)+1,N(K1983))))</f>
        <v>0</v>
      </c>
    </row>
    <row r="1985" customFormat="false" ht="15" hidden="false" customHeight="false" outlineLevel="0" collapsed="false">
      <c r="K1985" s="24" t="n">
        <f aca="false">IF(Search!$B$3="",0,IF($A1985="",N(K1984),IF(ISNUMBER(SEARCH(Search!$B$3,$A1985&amp;"")),N(K1984)+1,N(K1984))))</f>
        <v>0</v>
      </c>
    </row>
    <row r="1986" customFormat="false" ht="15" hidden="false" customHeight="false" outlineLevel="0" collapsed="false">
      <c r="K1986" s="24" t="n">
        <f aca="false">IF(Search!$B$3="",0,IF($A1986="",N(K1985),IF(ISNUMBER(SEARCH(Search!$B$3,$A1986&amp;"")),N(K1985)+1,N(K1985))))</f>
        <v>0</v>
      </c>
    </row>
    <row r="1987" customFormat="false" ht="15" hidden="false" customHeight="false" outlineLevel="0" collapsed="false">
      <c r="K1987" s="24" t="n">
        <f aca="false">IF(Search!$B$3="",0,IF($A1987="",N(K1986),IF(ISNUMBER(SEARCH(Search!$B$3,$A1987&amp;"")),N(K1986)+1,N(K1986))))</f>
        <v>0</v>
      </c>
    </row>
    <row r="1988" customFormat="false" ht="15" hidden="false" customHeight="false" outlineLevel="0" collapsed="false">
      <c r="K1988" s="24" t="n">
        <f aca="false">IF(Search!$B$3="",0,IF($A1988="",N(K1987),IF(ISNUMBER(SEARCH(Search!$B$3,$A1988&amp;"")),N(K1987)+1,N(K1987))))</f>
        <v>0</v>
      </c>
    </row>
    <row r="1989" customFormat="false" ht="15" hidden="false" customHeight="false" outlineLevel="0" collapsed="false">
      <c r="K1989" s="24" t="n">
        <f aca="false">IF(Search!$B$3="",0,IF($A1989="",N(K1988),IF(ISNUMBER(SEARCH(Search!$B$3,$A1989&amp;"")),N(K1988)+1,N(K1988))))</f>
        <v>0</v>
      </c>
    </row>
    <row r="1990" customFormat="false" ht="15" hidden="false" customHeight="false" outlineLevel="0" collapsed="false">
      <c r="K1990" s="24" t="n">
        <f aca="false">IF(Search!$B$3="",0,IF($A1990="",N(K1989),IF(ISNUMBER(SEARCH(Search!$B$3,$A1990&amp;"")),N(K1989)+1,N(K1989))))</f>
        <v>0</v>
      </c>
    </row>
    <row r="1991" customFormat="false" ht="15" hidden="false" customHeight="false" outlineLevel="0" collapsed="false">
      <c r="K1991" s="24" t="n">
        <f aca="false">IF(Search!$B$3="",0,IF($A1991="",N(K1990),IF(ISNUMBER(SEARCH(Search!$B$3,$A1991&amp;"")),N(K1990)+1,N(K1990))))</f>
        <v>0</v>
      </c>
    </row>
    <row r="1992" customFormat="false" ht="15" hidden="false" customHeight="false" outlineLevel="0" collapsed="false">
      <c r="K1992" s="24" t="n">
        <f aca="false">IF(Search!$B$3="",0,IF($A1992="",N(K1991),IF(ISNUMBER(SEARCH(Search!$B$3,$A1992&amp;"")),N(K1991)+1,N(K1991))))</f>
        <v>0</v>
      </c>
    </row>
    <row r="1993" customFormat="false" ht="15" hidden="false" customHeight="false" outlineLevel="0" collapsed="false">
      <c r="K1993" s="24" t="n">
        <f aca="false">IF(Search!$B$3="",0,IF($A1993="",N(K1992),IF(ISNUMBER(SEARCH(Search!$B$3,$A1993&amp;"")),N(K1992)+1,N(K1992))))</f>
        <v>0</v>
      </c>
    </row>
    <row r="1994" customFormat="false" ht="15" hidden="false" customHeight="false" outlineLevel="0" collapsed="false">
      <c r="K1994" s="24" t="n">
        <f aca="false">IF(Search!$B$3="",0,IF($A1994="",N(K1993),IF(ISNUMBER(SEARCH(Search!$B$3,$A1994&amp;"")),N(K1993)+1,N(K1993))))</f>
        <v>0</v>
      </c>
    </row>
    <row r="1995" customFormat="false" ht="15" hidden="false" customHeight="false" outlineLevel="0" collapsed="false">
      <c r="K1995" s="24" t="n">
        <f aca="false">IF(Search!$B$3="",0,IF($A1995="",N(K1994),IF(ISNUMBER(SEARCH(Search!$B$3,$A1995&amp;"")),N(K1994)+1,N(K1994))))</f>
        <v>0</v>
      </c>
    </row>
    <row r="1996" customFormat="false" ht="15" hidden="false" customHeight="false" outlineLevel="0" collapsed="false">
      <c r="K1996" s="24" t="n">
        <f aca="false">IF(Search!$B$3="",0,IF($A1996="",N(K1995),IF(ISNUMBER(SEARCH(Search!$B$3,$A1996&amp;"")),N(K1995)+1,N(K1995))))</f>
        <v>0</v>
      </c>
    </row>
    <row r="1997" customFormat="false" ht="15" hidden="false" customHeight="false" outlineLevel="0" collapsed="false">
      <c r="K1997" s="24" t="n">
        <f aca="false">IF(Search!$B$3="",0,IF($A1997="",N(K1996),IF(ISNUMBER(SEARCH(Search!$B$3,$A1997&amp;"")),N(K1996)+1,N(K1996))))</f>
        <v>0</v>
      </c>
    </row>
    <row r="1998" customFormat="false" ht="15" hidden="false" customHeight="false" outlineLevel="0" collapsed="false">
      <c r="K1998" s="24" t="n">
        <f aca="false">IF(Search!$B$3="",0,IF($A1998="",N(K1997),IF(ISNUMBER(SEARCH(Search!$B$3,$A1998&amp;"")),N(K1997)+1,N(K1997))))</f>
        <v>0</v>
      </c>
    </row>
    <row r="1999" customFormat="false" ht="15" hidden="false" customHeight="false" outlineLevel="0" collapsed="false">
      <c r="K1999" s="24" t="n">
        <f aca="false">IF(Search!$B$3="",0,IF($A1999="",N(K1998),IF(ISNUMBER(SEARCH(Search!$B$3,$A1999&amp;"")),N(K1998)+1,N(K1998))))</f>
        <v>0</v>
      </c>
    </row>
    <row r="2000" customFormat="false" ht="15" hidden="false" customHeight="false" outlineLevel="0" collapsed="false">
      <c r="K2000" s="24" t="n">
        <f aca="false">IF(Search!$B$3="",0,IF($A2000="",N(K1999),IF(ISNUMBER(SEARCH(Search!$B$3,$A2000&amp;"")),N(K1999)+1,N(K1999))))</f>
        <v>0</v>
      </c>
    </row>
    <row r="2001" customFormat="false" ht="15" hidden="false" customHeight="false" outlineLevel="0" collapsed="false">
      <c r="K2001" s="24" t="n">
        <f aca="false">IF(Search!$B$3="",0,IF($A2001="",N(K2000),IF(ISNUMBER(SEARCH(Search!$B$3,$A2001&amp;"")),N(K2000)+1,N(K2000))))</f>
        <v>0</v>
      </c>
    </row>
    <row r="2002" customFormat="false" ht="15" hidden="false" customHeight="false" outlineLevel="0" collapsed="false">
      <c r="K2002" s="24" t="n">
        <f aca="false">IF(Search!$B$3="",0,IF($A2002="",N(K2001),IF(ISNUMBER(SEARCH(Search!$B$3,$A2002&amp;"")),N(K2001)+1,N(K2001))))</f>
        <v>0</v>
      </c>
    </row>
    <row r="2003" customFormat="false" ht="15" hidden="false" customHeight="false" outlineLevel="0" collapsed="false">
      <c r="K2003" s="24" t="n">
        <f aca="false">IF(Search!$B$3="",0,IF($A2003="",N(K2002),IF(ISNUMBER(SEARCH(Search!$B$3,$A2003&amp;"")),N(K2002)+1,N(K2002))))</f>
        <v>0</v>
      </c>
    </row>
    <row r="2004" customFormat="false" ht="15" hidden="false" customHeight="false" outlineLevel="0" collapsed="false">
      <c r="K2004" s="24" t="n">
        <f aca="false">IF(Search!$B$3="",0,IF($A2004="",N(K2003),IF(ISNUMBER(SEARCH(Search!$B$3,$A2004&amp;"")),N(K2003)+1,N(K2003))))</f>
        <v>0</v>
      </c>
    </row>
    <row r="2005" customFormat="false" ht="15" hidden="false" customHeight="false" outlineLevel="0" collapsed="false">
      <c r="K2005" s="24" t="n">
        <f aca="false">IF(Search!$B$3="",0,IF($A2005="",N(K2004),IF(ISNUMBER(SEARCH(Search!$B$3,$A2005&amp;"")),N(K2004)+1,N(K2004))))</f>
        <v>0</v>
      </c>
    </row>
    <row r="2006" customFormat="false" ht="15" hidden="false" customHeight="false" outlineLevel="0" collapsed="false">
      <c r="K2006" s="24" t="n">
        <f aca="false">IF(Search!$B$3="",0,IF($A2006="",N(K2005),IF(ISNUMBER(SEARCH(Search!$B$3,$A2006&amp;"")),N(K2005)+1,N(K2005))))</f>
        <v>0</v>
      </c>
    </row>
    <row r="2007" customFormat="false" ht="15" hidden="false" customHeight="false" outlineLevel="0" collapsed="false">
      <c r="K2007" s="24" t="n">
        <f aca="false">IF(Search!$B$3="",0,IF($A2007="",N(K2006),IF(ISNUMBER(SEARCH(Search!$B$3,$A2007&amp;"")),N(K2006)+1,N(K2006))))</f>
        <v>0</v>
      </c>
    </row>
    <row r="2008" customFormat="false" ht="15" hidden="false" customHeight="false" outlineLevel="0" collapsed="false">
      <c r="K2008" s="24" t="n">
        <f aca="false">IF(Search!$B$3="",0,IF($A2008="",N(K2007),IF(ISNUMBER(SEARCH(Search!$B$3,$A2008&amp;"")),N(K2007)+1,N(K2007))))</f>
        <v>0</v>
      </c>
    </row>
    <row r="2009" customFormat="false" ht="15" hidden="false" customHeight="false" outlineLevel="0" collapsed="false">
      <c r="K2009" s="24" t="n">
        <f aca="false">IF(Search!$B$3="",0,IF($A2009="",N(K2008),IF(ISNUMBER(SEARCH(Search!$B$3,$A2009&amp;"")),N(K2008)+1,N(K2008))))</f>
        <v>0</v>
      </c>
    </row>
    <row r="2010" customFormat="false" ht="15" hidden="false" customHeight="false" outlineLevel="0" collapsed="false">
      <c r="K2010" s="24" t="n">
        <f aca="false">IF(Search!$B$3="",0,IF($A2010="",N(K2009),IF(ISNUMBER(SEARCH(Search!$B$3,$A2010&amp;"")),N(K2009)+1,N(K2009))))</f>
        <v>0</v>
      </c>
    </row>
    <row r="2011" customFormat="false" ht="15" hidden="false" customHeight="false" outlineLevel="0" collapsed="false">
      <c r="K2011" s="24" t="n">
        <f aca="false">IF(Search!$B$3="",0,IF($A2011="",N(K2010),IF(ISNUMBER(SEARCH(Search!$B$3,$A2011&amp;"")),N(K2010)+1,N(K2010))))</f>
        <v>0</v>
      </c>
    </row>
    <row r="2012" customFormat="false" ht="15" hidden="false" customHeight="false" outlineLevel="0" collapsed="false">
      <c r="K2012" s="24" t="n">
        <f aca="false">IF(Search!$B$3="",0,IF($A2012="",N(K2011),IF(ISNUMBER(SEARCH(Search!$B$3,$A2012&amp;"")),N(K2011)+1,N(K2011))))</f>
        <v>0</v>
      </c>
    </row>
    <row r="2013" customFormat="false" ht="15" hidden="false" customHeight="false" outlineLevel="0" collapsed="false">
      <c r="K2013" s="24" t="n">
        <f aca="false">IF(Search!$B$3="",0,IF($A2013="",N(K2012),IF(ISNUMBER(SEARCH(Search!$B$3,$A2013&amp;"")),N(K2012)+1,N(K2012))))</f>
        <v>0</v>
      </c>
    </row>
    <row r="2014" customFormat="false" ht="15" hidden="false" customHeight="false" outlineLevel="0" collapsed="false">
      <c r="K2014" s="24" t="n">
        <f aca="false">IF(Search!$B$3="",0,IF($A2014="",N(K2013),IF(ISNUMBER(SEARCH(Search!$B$3,$A2014&amp;"")),N(K2013)+1,N(K2013))))</f>
        <v>0</v>
      </c>
    </row>
    <row r="2015" customFormat="false" ht="15" hidden="false" customHeight="false" outlineLevel="0" collapsed="false">
      <c r="K2015" s="24" t="n">
        <f aca="false">IF(Search!$B$3="",0,IF($A2015="",N(K2014),IF(ISNUMBER(SEARCH(Search!$B$3,$A2015&amp;"")),N(K2014)+1,N(K2014))))</f>
        <v>0</v>
      </c>
    </row>
    <row r="2016" customFormat="false" ht="15" hidden="false" customHeight="false" outlineLevel="0" collapsed="false">
      <c r="K2016" s="24" t="n">
        <f aca="false">IF(Search!$B$3="",0,IF($A2016="",N(K2015),IF(ISNUMBER(SEARCH(Search!$B$3,$A2016&amp;"")),N(K2015)+1,N(K2015))))</f>
        <v>0</v>
      </c>
    </row>
    <row r="2017" customFormat="false" ht="15" hidden="false" customHeight="false" outlineLevel="0" collapsed="false">
      <c r="K2017" s="24" t="n">
        <f aca="false">IF(Search!$B$3="",0,IF($A2017="",N(K2016),IF(ISNUMBER(SEARCH(Search!$B$3,$A2017&amp;"")),N(K2016)+1,N(K2016))))</f>
        <v>0</v>
      </c>
    </row>
    <row r="2018" customFormat="false" ht="15" hidden="false" customHeight="false" outlineLevel="0" collapsed="false">
      <c r="K2018" s="24" t="n">
        <f aca="false">IF(Search!$B$3="",0,IF($A2018="",N(K2017),IF(ISNUMBER(SEARCH(Search!$B$3,$A2018&amp;"")),N(K2017)+1,N(K2017))))</f>
        <v>0</v>
      </c>
    </row>
    <row r="2019" customFormat="false" ht="15" hidden="false" customHeight="false" outlineLevel="0" collapsed="false">
      <c r="K2019" s="24" t="n">
        <f aca="false">IF(Search!$B$3="",0,IF($A2019="",N(K2018),IF(ISNUMBER(SEARCH(Search!$B$3,$A2019&amp;"")),N(K2018)+1,N(K2018))))</f>
        <v>0</v>
      </c>
    </row>
    <row r="2020" customFormat="false" ht="15" hidden="false" customHeight="false" outlineLevel="0" collapsed="false">
      <c r="K2020" s="24" t="n">
        <f aca="false">IF(Search!$B$3="",0,IF($A2020="",N(K2019),IF(ISNUMBER(SEARCH(Search!$B$3,$A2020&amp;"")),N(K2019)+1,N(K2019))))</f>
        <v>0</v>
      </c>
    </row>
    <row r="2021" customFormat="false" ht="15" hidden="false" customHeight="false" outlineLevel="0" collapsed="false">
      <c r="K2021" s="24" t="n">
        <f aca="false">IF(Search!$B$3="",0,IF($A2021="",N(K2020),IF(ISNUMBER(SEARCH(Search!$B$3,$A2021&amp;"")),N(K2020)+1,N(K2020))))</f>
        <v>0</v>
      </c>
    </row>
    <row r="2022" customFormat="false" ht="15" hidden="false" customHeight="false" outlineLevel="0" collapsed="false">
      <c r="K2022" s="24" t="n">
        <f aca="false">IF(Search!$B$3="",0,IF($A2022="",N(K2021),IF(ISNUMBER(SEARCH(Search!$B$3,$A2022&amp;"")),N(K2021)+1,N(K2021))))</f>
        <v>0</v>
      </c>
    </row>
    <row r="2023" customFormat="false" ht="15" hidden="false" customHeight="false" outlineLevel="0" collapsed="false">
      <c r="K2023" s="24" t="n">
        <f aca="false">IF(Search!$B$3="",0,IF($A2023="",N(K2022),IF(ISNUMBER(SEARCH(Search!$B$3,$A2023&amp;"")),N(K2022)+1,N(K2022))))</f>
        <v>0</v>
      </c>
    </row>
    <row r="2024" customFormat="false" ht="15" hidden="false" customHeight="false" outlineLevel="0" collapsed="false">
      <c r="K2024" s="24" t="n">
        <f aca="false">IF(Search!$B$3="",0,IF($A2024="",N(K2023),IF(ISNUMBER(SEARCH(Search!$B$3,$A2024&amp;"")),N(K2023)+1,N(K2023))))</f>
        <v>0</v>
      </c>
    </row>
    <row r="2025" customFormat="false" ht="15" hidden="false" customHeight="false" outlineLevel="0" collapsed="false">
      <c r="K2025" s="24" t="n">
        <f aca="false">IF(Search!$B$3="",0,IF($A2025="",N(K2024),IF(ISNUMBER(SEARCH(Search!$B$3,$A2025&amp;"")),N(K2024)+1,N(K2024))))</f>
        <v>0</v>
      </c>
    </row>
    <row r="2026" customFormat="false" ht="15" hidden="false" customHeight="false" outlineLevel="0" collapsed="false">
      <c r="K2026" s="24" t="n">
        <f aca="false">IF(Search!$B$3="",0,IF($A2026="",N(K2025),IF(ISNUMBER(SEARCH(Search!$B$3,$A2026&amp;"")),N(K2025)+1,N(K2025))))</f>
        <v>0</v>
      </c>
    </row>
    <row r="2027" customFormat="false" ht="15" hidden="false" customHeight="false" outlineLevel="0" collapsed="false">
      <c r="K2027" s="24" t="n">
        <f aca="false">IF(Search!$B$3="",0,IF($A2027="",N(K2026),IF(ISNUMBER(SEARCH(Search!$B$3,$A2027&amp;"")),N(K2026)+1,N(K2026))))</f>
        <v>0</v>
      </c>
    </row>
    <row r="2028" customFormat="false" ht="15" hidden="false" customHeight="false" outlineLevel="0" collapsed="false">
      <c r="K2028" s="24" t="n">
        <f aca="false">IF(Search!$B$3="",0,IF($A2028="",N(K2027),IF(ISNUMBER(SEARCH(Search!$B$3,$A2028&amp;"")),N(K2027)+1,N(K2027))))</f>
        <v>0</v>
      </c>
    </row>
    <row r="2029" customFormat="false" ht="15" hidden="false" customHeight="false" outlineLevel="0" collapsed="false">
      <c r="K2029" s="24" t="n">
        <f aca="false">IF(Search!$B$3="",0,IF($A2029="",N(K2028),IF(ISNUMBER(SEARCH(Search!$B$3,$A2029&amp;"")),N(K2028)+1,N(K2028))))</f>
        <v>0</v>
      </c>
    </row>
    <row r="2030" customFormat="false" ht="15" hidden="false" customHeight="false" outlineLevel="0" collapsed="false">
      <c r="K2030" s="24" t="n">
        <f aca="false">IF(Search!$B$3="",0,IF($A2030="",N(K2029),IF(ISNUMBER(SEARCH(Search!$B$3,$A2030&amp;"")),N(K2029)+1,N(K2029))))</f>
        <v>0</v>
      </c>
    </row>
    <row r="2031" customFormat="false" ht="15" hidden="false" customHeight="false" outlineLevel="0" collapsed="false">
      <c r="K2031" s="24" t="n">
        <f aca="false">IF(Search!$B$3="",0,IF($A2031="",N(K2030),IF(ISNUMBER(SEARCH(Search!$B$3,$A2031&amp;"")),N(K2030)+1,N(K2030))))</f>
        <v>0</v>
      </c>
    </row>
    <row r="2032" customFormat="false" ht="15" hidden="false" customHeight="false" outlineLevel="0" collapsed="false">
      <c r="K2032" s="24" t="n">
        <f aca="false">IF(Search!$B$3="",0,IF($A2032="",N(K2031),IF(ISNUMBER(SEARCH(Search!$B$3,$A2032&amp;"")),N(K2031)+1,N(K2031))))</f>
        <v>0</v>
      </c>
    </row>
    <row r="2033" customFormat="false" ht="15" hidden="false" customHeight="false" outlineLevel="0" collapsed="false">
      <c r="K2033" s="24" t="n">
        <f aca="false">IF(Search!$B$3="",0,IF($A2033="",N(K2032),IF(ISNUMBER(SEARCH(Search!$B$3,$A2033&amp;"")),N(K2032)+1,N(K2032))))</f>
        <v>0</v>
      </c>
    </row>
    <row r="2034" customFormat="false" ht="15" hidden="false" customHeight="false" outlineLevel="0" collapsed="false">
      <c r="K2034" s="24" t="n">
        <f aca="false">IF(Search!$B$3="",0,IF($A2034="",N(K2033),IF(ISNUMBER(SEARCH(Search!$B$3,$A2034&amp;"")),N(K2033)+1,N(K2033))))</f>
        <v>0</v>
      </c>
    </row>
    <row r="2035" customFormat="false" ht="15" hidden="false" customHeight="false" outlineLevel="0" collapsed="false">
      <c r="K2035" s="24" t="n">
        <f aca="false">IF(Search!$B$3="",0,IF($A2035="",N(K2034),IF(ISNUMBER(SEARCH(Search!$B$3,$A2035&amp;"")),N(K2034)+1,N(K2034))))</f>
        <v>0</v>
      </c>
    </row>
    <row r="2036" customFormat="false" ht="15" hidden="false" customHeight="false" outlineLevel="0" collapsed="false">
      <c r="K2036" s="24" t="n">
        <f aca="false">IF(Search!$B$3="",0,IF($A2036="",N(K2035),IF(ISNUMBER(SEARCH(Search!$B$3,$A2036&amp;"")),N(K2035)+1,N(K2035))))</f>
        <v>0</v>
      </c>
    </row>
    <row r="2037" customFormat="false" ht="15" hidden="false" customHeight="false" outlineLevel="0" collapsed="false">
      <c r="K2037" s="24" t="n">
        <f aca="false">IF(Search!$B$3="",0,IF($A2037="",N(K2036),IF(ISNUMBER(SEARCH(Search!$B$3,$A2037&amp;"")),N(K2036)+1,N(K2036))))</f>
        <v>0</v>
      </c>
    </row>
    <row r="2038" customFormat="false" ht="15" hidden="false" customHeight="false" outlineLevel="0" collapsed="false">
      <c r="K2038" s="24" t="n">
        <f aca="false">IF(Search!$B$3="",0,IF($A2038="",N(K2037),IF(ISNUMBER(SEARCH(Search!$B$3,$A2038&amp;"")),N(K2037)+1,N(K2037))))</f>
        <v>0</v>
      </c>
    </row>
    <row r="2039" customFormat="false" ht="15" hidden="false" customHeight="false" outlineLevel="0" collapsed="false">
      <c r="K2039" s="24" t="n">
        <f aca="false">IF(Search!$B$3="",0,IF($A2039="",N(K2038),IF(ISNUMBER(SEARCH(Search!$B$3,$A2039&amp;"")),N(K2038)+1,N(K2038))))</f>
        <v>0</v>
      </c>
    </row>
    <row r="2040" customFormat="false" ht="15" hidden="false" customHeight="false" outlineLevel="0" collapsed="false">
      <c r="K2040" s="24" t="n">
        <f aca="false">IF(Search!$B$3="",0,IF($A2040="",N(K2039),IF(ISNUMBER(SEARCH(Search!$B$3,$A2040&amp;"")),N(K2039)+1,N(K2039))))</f>
        <v>0</v>
      </c>
    </row>
    <row r="2041" customFormat="false" ht="15" hidden="false" customHeight="false" outlineLevel="0" collapsed="false">
      <c r="K2041" s="24" t="n">
        <f aca="false">IF(Search!$B$3="",0,IF($A2041="",N(K2040),IF(ISNUMBER(SEARCH(Search!$B$3,$A2041&amp;"")),N(K2040)+1,N(K2040))))</f>
        <v>0</v>
      </c>
    </row>
    <row r="2042" customFormat="false" ht="15" hidden="false" customHeight="false" outlineLevel="0" collapsed="false">
      <c r="K2042" s="24" t="n">
        <f aca="false">IF(Search!$B$3="",0,IF($A2042="",N(K2041),IF(ISNUMBER(SEARCH(Search!$B$3,$A2042&amp;"")),N(K2041)+1,N(K2041))))</f>
        <v>0</v>
      </c>
    </row>
    <row r="2043" customFormat="false" ht="15" hidden="false" customHeight="false" outlineLevel="0" collapsed="false">
      <c r="K2043" s="24" t="n">
        <f aca="false">IF(Search!$B$3="",0,IF($A2043="",N(K2042),IF(ISNUMBER(SEARCH(Search!$B$3,$A2043&amp;"")),N(K2042)+1,N(K2042))))</f>
        <v>0</v>
      </c>
    </row>
    <row r="2044" customFormat="false" ht="15" hidden="false" customHeight="false" outlineLevel="0" collapsed="false">
      <c r="K2044" s="24" t="n">
        <f aca="false">IF(Search!$B$3="",0,IF($A2044="",N(K2043),IF(ISNUMBER(SEARCH(Search!$B$3,$A2044&amp;"")),N(K2043)+1,N(K2043))))</f>
        <v>0</v>
      </c>
    </row>
    <row r="2045" customFormat="false" ht="15" hidden="false" customHeight="false" outlineLevel="0" collapsed="false">
      <c r="K2045" s="24" t="n">
        <f aca="false">IF(Search!$B$3="",0,IF($A2045="",N(K2044),IF(ISNUMBER(SEARCH(Search!$B$3,$A2045&amp;"")),N(K2044)+1,N(K2044))))</f>
        <v>0</v>
      </c>
    </row>
    <row r="2046" customFormat="false" ht="15" hidden="false" customHeight="false" outlineLevel="0" collapsed="false">
      <c r="K2046" s="24" t="n">
        <f aca="false">IF(Search!$B$3="",0,IF($A2046="",N(K2045),IF(ISNUMBER(SEARCH(Search!$B$3,$A2046&amp;"")),N(K2045)+1,N(K2045))))</f>
        <v>0</v>
      </c>
    </row>
    <row r="2047" customFormat="false" ht="15" hidden="false" customHeight="false" outlineLevel="0" collapsed="false">
      <c r="K2047" s="24" t="n">
        <f aca="false">IF(Search!$B$3="",0,IF($A2047="",N(K2046),IF(ISNUMBER(SEARCH(Search!$B$3,$A2047&amp;"")),N(K2046)+1,N(K2046))))</f>
        <v>0</v>
      </c>
    </row>
    <row r="2048" customFormat="false" ht="15" hidden="false" customHeight="false" outlineLevel="0" collapsed="false">
      <c r="K2048" s="24" t="n">
        <f aca="false">IF(Search!$B$3="",0,IF($A2048="",N(K2047),IF(ISNUMBER(SEARCH(Search!$B$3,$A2048&amp;"")),N(K2047)+1,N(K2047))))</f>
        <v>0</v>
      </c>
    </row>
    <row r="2049" customFormat="false" ht="15" hidden="false" customHeight="false" outlineLevel="0" collapsed="false">
      <c r="K2049" s="24" t="n">
        <f aca="false">IF(Search!$B$3="",0,IF($A2049="",N(K2048),IF(ISNUMBER(SEARCH(Search!$B$3,$A2049&amp;"")),N(K2048)+1,N(K2048))))</f>
        <v>0</v>
      </c>
    </row>
    <row r="2050" customFormat="false" ht="15" hidden="false" customHeight="false" outlineLevel="0" collapsed="false">
      <c r="K2050" s="24" t="n">
        <f aca="false">IF(Search!$B$3="",0,IF($A2050="",N(K2049),IF(ISNUMBER(SEARCH(Search!$B$3,$A2050&amp;"")),N(K2049)+1,N(K2049))))</f>
        <v>0</v>
      </c>
    </row>
    <row r="2051" customFormat="false" ht="15" hidden="false" customHeight="false" outlineLevel="0" collapsed="false">
      <c r="K2051" s="24" t="n">
        <f aca="false">IF(Search!$B$3="",0,IF($A2051="",N(K2050),IF(ISNUMBER(SEARCH(Search!$B$3,$A2051&amp;"")),N(K2050)+1,N(K2050))))</f>
        <v>0</v>
      </c>
    </row>
    <row r="2052" customFormat="false" ht="15" hidden="false" customHeight="false" outlineLevel="0" collapsed="false">
      <c r="K2052" s="24" t="n">
        <f aca="false">IF(Search!$B$3="",0,IF($A2052="",N(K2051),IF(ISNUMBER(SEARCH(Search!$B$3,$A2052&amp;"")),N(K2051)+1,N(K2051))))</f>
        <v>0</v>
      </c>
    </row>
    <row r="2053" customFormat="false" ht="15" hidden="false" customHeight="false" outlineLevel="0" collapsed="false">
      <c r="K2053" s="24" t="n">
        <f aca="false">IF(Search!$B$3="",0,IF($A2053="",N(K2052),IF(ISNUMBER(SEARCH(Search!$B$3,$A2053&amp;"")),N(K2052)+1,N(K2052))))</f>
        <v>0</v>
      </c>
    </row>
    <row r="2054" customFormat="false" ht="15" hidden="false" customHeight="false" outlineLevel="0" collapsed="false">
      <c r="K2054" s="24" t="n">
        <f aca="false">IF(Search!$B$3="",0,IF($A2054="",N(K2053),IF(ISNUMBER(SEARCH(Search!$B$3,$A2054&amp;"")),N(K2053)+1,N(K2053))))</f>
        <v>0</v>
      </c>
    </row>
    <row r="2055" customFormat="false" ht="15" hidden="false" customHeight="false" outlineLevel="0" collapsed="false">
      <c r="K2055" s="24" t="n">
        <f aca="false">IF(Search!$B$3="",0,IF($A2055="",N(K2054),IF(ISNUMBER(SEARCH(Search!$B$3,$A2055&amp;"")),N(K2054)+1,N(K2054))))</f>
        <v>0</v>
      </c>
    </row>
    <row r="2056" customFormat="false" ht="15" hidden="false" customHeight="false" outlineLevel="0" collapsed="false">
      <c r="K2056" s="24" t="n">
        <f aca="false">IF(Search!$B$3="",0,IF($A2056="",N(K2055),IF(ISNUMBER(SEARCH(Search!$B$3,$A2056&amp;"")),N(K2055)+1,N(K2055))))</f>
        <v>0</v>
      </c>
    </row>
    <row r="2057" customFormat="false" ht="15" hidden="false" customHeight="false" outlineLevel="0" collapsed="false">
      <c r="K2057" s="24" t="n">
        <f aca="false">IF(Search!$B$3="",0,IF($A2057="",N(K2056),IF(ISNUMBER(SEARCH(Search!$B$3,$A2057&amp;"")),N(K2056)+1,N(K2056))))</f>
        <v>0</v>
      </c>
    </row>
    <row r="2058" customFormat="false" ht="15" hidden="false" customHeight="false" outlineLevel="0" collapsed="false">
      <c r="K2058" s="24" t="n">
        <f aca="false">IF(Search!$B$3="",0,IF($A2058="",N(K2057),IF(ISNUMBER(SEARCH(Search!$B$3,$A2058&amp;"")),N(K2057)+1,N(K2057))))</f>
        <v>0</v>
      </c>
    </row>
    <row r="2059" customFormat="false" ht="15" hidden="false" customHeight="false" outlineLevel="0" collapsed="false">
      <c r="K2059" s="24" t="n">
        <f aca="false">IF(Search!$B$3="",0,IF($A2059="",N(K2058),IF(ISNUMBER(SEARCH(Search!$B$3,$A2059&amp;"")),N(K2058)+1,N(K2058))))</f>
        <v>0</v>
      </c>
    </row>
    <row r="2060" customFormat="false" ht="15" hidden="false" customHeight="false" outlineLevel="0" collapsed="false">
      <c r="K2060" s="24" t="n">
        <f aca="false">IF(Search!$B$3="",0,IF($A2060="",N(K2059),IF(ISNUMBER(SEARCH(Search!$B$3,$A2060&amp;"")),N(K2059)+1,N(K2059))))</f>
        <v>0</v>
      </c>
    </row>
    <row r="2061" customFormat="false" ht="15" hidden="false" customHeight="false" outlineLevel="0" collapsed="false">
      <c r="K2061" s="24" t="n">
        <f aca="false">IF(Search!$B$3="",0,IF($A2061="",N(K2060),IF(ISNUMBER(SEARCH(Search!$B$3,$A2061&amp;"")),N(K2060)+1,N(K2060))))</f>
        <v>0</v>
      </c>
    </row>
    <row r="2062" customFormat="false" ht="15" hidden="false" customHeight="false" outlineLevel="0" collapsed="false">
      <c r="K2062" s="24" t="n">
        <f aca="false">IF(Search!$B$3="",0,IF($A2062="",N(K2061),IF(ISNUMBER(SEARCH(Search!$B$3,$A2062&amp;"")),N(K2061)+1,N(K2061))))</f>
        <v>0</v>
      </c>
    </row>
    <row r="2063" customFormat="false" ht="15" hidden="false" customHeight="false" outlineLevel="0" collapsed="false">
      <c r="K2063" s="24" t="n">
        <f aca="false">IF(Search!$B$3="",0,IF($A2063="",N(K2062),IF(ISNUMBER(SEARCH(Search!$B$3,$A2063&amp;"")),N(K2062)+1,N(K2062))))</f>
        <v>0</v>
      </c>
    </row>
    <row r="2064" customFormat="false" ht="15" hidden="false" customHeight="false" outlineLevel="0" collapsed="false">
      <c r="K2064" s="24" t="n">
        <f aca="false">IF(Search!$B$3="",0,IF($A2064="",N(K2063),IF(ISNUMBER(SEARCH(Search!$B$3,$A2064&amp;"")),N(K2063)+1,N(K2063))))</f>
        <v>0</v>
      </c>
    </row>
    <row r="2065" customFormat="false" ht="15" hidden="false" customHeight="false" outlineLevel="0" collapsed="false">
      <c r="K2065" s="24" t="n">
        <f aca="false">IF(Search!$B$3="",0,IF($A2065="",N(K2064),IF(ISNUMBER(SEARCH(Search!$B$3,$A2065&amp;"")),N(K2064)+1,N(K2064))))</f>
        <v>0</v>
      </c>
    </row>
    <row r="2066" customFormat="false" ht="15" hidden="false" customHeight="false" outlineLevel="0" collapsed="false">
      <c r="K2066" s="24" t="n">
        <f aca="false">IF(Search!$B$3="",0,IF($A2066="",N(K2065),IF(ISNUMBER(SEARCH(Search!$B$3,$A2066&amp;"")),N(K2065)+1,N(K2065))))</f>
        <v>0</v>
      </c>
    </row>
    <row r="2067" customFormat="false" ht="15" hidden="false" customHeight="false" outlineLevel="0" collapsed="false">
      <c r="K2067" s="24" t="n">
        <f aca="false">IF(Search!$B$3="",0,IF($A2067="",N(K2066),IF(ISNUMBER(SEARCH(Search!$B$3,$A2067&amp;"")),N(K2066)+1,N(K2066))))</f>
        <v>0</v>
      </c>
    </row>
    <row r="2068" customFormat="false" ht="15" hidden="false" customHeight="false" outlineLevel="0" collapsed="false">
      <c r="K2068" s="24" t="n">
        <f aca="false">IF(Search!$B$3="",0,IF($A2068="",N(K2067),IF(ISNUMBER(SEARCH(Search!$B$3,$A2068&amp;"")),N(K2067)+1,N(K2067))))</f>
        <v>0</v>
      </c>
    </row>
    <row r="2069" customFormat="false" ht="15" hidden="false" customHeight="false" outlineLevel="0" collapsed="false">
      <c r="K2069" s="24" t="n">
        <f aca="false">IF(Search!$B$3="",0,IF($A2069="",N(K2068),IF(ISNUMBER(SEARCH(Search!$B$3,$A2069&amp;"")),N(K2068)+1,N(K2068))))</f>
        <v>0</v>
      </c>
    </row>
    <row r="2070" customFormat="false" ht="15" hidden="false" customHeight="false" outlineLevel="0" collapsed="false">
      <c r="K2070" s="24" t="n">
        <f aca="false">IF(Search!$B$3="",0,IF($A2070="",N(K2069),IF(ISNUMBER(SEARCH(Search!$B$3,$A2070&amp;"")),N(K2069)+1,N(K2069))))</f>
        <v>0</v>
      </c>
    </row>
    <row r="2071" customFormat="false" ht="15" hidden="false" customHeight="false" outlineLevel="0" collapsed="false">
      <c r="K2071" s="24" t="n">
        <f aca="false">IF(Search!$B$3="",0,IF($A2071="",N(K2070),IF(ISNUMBER(SEARCH(Search!$B$3,$A2071&amp;"")),N(K2070)+1,N(K2070))))</f>
        <v>0</v>
      </c>
    </row>
    <row r="2072" customFormat="false" ht="15" hidden="false" customHeight="false" outlineLevel="0" collapsed="false">
      <c r="K2072" s="24" t="n">
        <f aca="false">IF(Search!$B$3="",0,IF($A2072="",N(K2071),IF(ISNUMBER(SEARCH(Search!$B$3,$A2072&amp;"")),N(K2071)+1,N(K2071))))</f>
        <v>0</v>
      </c>
    </row>
    <row r="2073" customFormat="false" ht="15" hidden="false" customHeight="false" outlineLevel="0" collapsed="false">
      <c r="K2073" s="24" t="n">
        <f aca="false">IF(Search!$B$3="",0,IF($A2073="",N(K2072),IF(ISNUMBER(SEARCH(Search!$B$3,$A2073&amp;"")),N(K2072)+1,N(K2072))))</f>
        <v>0</v>
      </c>
    </row>
    <row r="2074" customFormat="false" ht="15" hidden="false" customHeight="false" outlineLevel="0" collapsed="false">
      <c r="K2074" s="24" t="n">
        <f aca="false">IF(Search!$B$3="",0,IF($A2074="",N(K2073),IF(ISNUMBER(SEARCH(Search!$B$3,$A2074&amp;"")),N(K2073)+1,N(K2073))))</f>
        <v>0</v>
      </c>
    </row>
    <row r="2075" customFormat="false" ht="15" hidden="false" customHeight="false" outlineLevel="0" collapsed="false">
      <c r="K2075" s="24" t="n">
        <f aca="false">IF(Search!$B$3="",0,IF($A2075="",N(K2074),IF(ISNUMBER(SEARCH(Search!$B$3,$A2075&amp;"")),N(K2074)+1,N(K2074))))</f>
        <v>0</v>
      </c>
    </row>
    <row r="2076" customFormat="false" ht="15" hidden="false" customHeight="false" outlineLevel="0" collapsed="false">
      <c r="K2076" s="24" t="n">
        <f aca="false">IF(Search!$B$3="",0,IF($A2076="",N(K2075),IF(ISNUMBER(SEARCH(Search!$B$3,$A2076&amp;"")),N(K2075)+1,N(K2075))))</f>
        <v>0</v>
      </c>
    </row>
    <row r="2077" customFormat="false" ht="15" hidden="false" customHeight="false" outlineLevel="0" collapsed="false">
      <c r="K2077" s="24" t="n">
        <f aca="false">IF(Search!$B$3="",0,IF($A2077="",N(K2076),IF(ISNUMBER(SEARCH(Search!$B$3,$A2077&amp;"")),N(K2076)+1,N(K2076))))</f>
        <v>0</v>
      </c>
    </row>
    <row r="2078" customFormat="false" ht="15" hidden="false" customHeight="false" outlineLevel="0" collapsed="false">
      <c r="K2078" s="24" t="n">
        <f aca="false">IF(Search!$B$3="",0,IF($A2078="",N(K2077),IF(ISNUMBER(SEARCH(Search!$B$3,$A2078&amp;"")),N(K2077)+1,N(K2077))))</f>
        <v>0</v>
      </c>
    </row>
    <row r="2079" customFormat="false" ht="15" hidden="false" customHeight="false" outlineLevel="0" collapsed="false">
      <c r="K2079" s="24" t="n">
        <f aca="false">IF(Search!$B$3="",0,IF($A2079="",N(K2078),IF(ISNUMBER(SEARCH(Search!$B$3,$A2079&amp;"")),N(K2078)+1,N(K2078))))</f>
        <v>0</v>
      </c>
    </row>
    <row r="2080" customFormat="false" ht="15" hidden="false" customHeight="false" outlineLevel="0" collapsed="false">
      <c r="K2080" s="24" t="n">
        <f aca="false">IF(Search!$B$3="",0,IF($A2080="",N(K2079),IF(ISNUMBER(SEARCH(Search!$B$3,$A2080&amp;"")),N(K2079)+1,N(K2079))))</f>
        <v>0</v>
      </c>
    </row>
    <row r="2081" customFormat="false" ht="15" hidden="false" customHeight="false" outlineLevel="0" collapsed="false">
      <c r="K2081" s="24" t="n">
        <f aca="false">IF(Search!$B$3="",0,IF($A2081="",N(K2080),IF(ISNUMBER(SEARCH(Search!$B$3,$A2081&amp;"")),N(K2080)+1,N(K2080))))</f>
        <v>0</v>
      </c>
    </row>
    <row r="2082" customFormat="false" ht="15" hidden="false" customHeight="false" outlineLevel="0" collapsed="false">
      <c r="K2082" s="24" t="n">
        <f aca="false">IF(Search!$B$3="",0,IF($A2082="",N(K2081),IF(ISNUMBER(SEARCH(Search!$B$3,$A2082&amp;"")),N(K2081)+1,N(K2081))))</f>
        <v>0</v>
      </c>
    </row>
    <row r="2083" customFormat="false" ht="15" hidden="false" customHeight="false" outlineLevel="0" collapsed="false">
      <c r="K2083" s="24" t="n">
        <f aca="false">IF(Search!$B$3="",0,IF($A2083="",N(K2082),IF(ISNUMBER(SEARCH(Search!$B$3,$A2083&amp;"")),N(K2082)+1,N(K2082))))</f>
        <v>0</v>
      </c>
    </row>
    <row r="2084" customFormat="false" ht="15" hidden="false" customHeight="false" outlineLevel="0" collapsed="false">
      <c r="K2084" s="24" t="n">
        <f aca="false">IF(Search!$B$3="",0,IF($A2084="",N(K2083),IF(ISNUMBER(SEARCH(Search!$B$3,$A2084&amp;"")),N(K2083)+1,N(K2083))))</f>
        <v>0</v>
      </c>
    </row>
    <row r="2085" customFormat="false" ht="15" hidden="false" customHeight="false" outlineLevel="0" collapsed="false">
      <c r="K2085" s="24" t="n">
        <f aca="false">IF(Search!$B$3="",0,IF($A2085="",N(K2084),IF(ISNUMBER(SEARCH(Search!$B$3,$A2085&amp;"")),N(K2084)+1,N(K2084))))</f>
        <v>0</v>
      </c>
    </row>
    <row r="2086" customFormat="false" ht="15" hidden="false" customHeight="false" outlineLevel="0" collapsed="false">
      <c r="K2086" s="24" t="n">
        <f aca="false">IF(Search!$B$3="",0,IF($A2086="",N(K2085),IF(ISNUMBER(SEARCH(Search!$B$3,$A2086&amp;"")),N(K2085)+1,N(K2085))))</f>
        <v>0</v>
      </c>
    </row>
    <row r="2087" customFormat="false" ht="15" hidden="false" customHeight="false" outlineLevel="0" collapsed="false">
      <c r="K2087" s="24" t="n">
        <f aca="false">IF(Search!$B$3="",0,IF($A2087="",N(K2086),IF(ISNUMBER(SEARCH(Search!$B$3,$A2087&amp;"")),N(K2086)+1,N(K2086))))</f>
        <v>0</v>
      </c>
    </row>
    <row r="2088" customFormat="false" ht="15" hidden="false" customHeight="false" outlineLevel="0" collapsed="false">
      <c r="K2088" s="24" t="n">
        <f aca="false">IF(Search!$B$3="",0,IF($A2088="",N(K2087),IF(ISNUMBER(SEARCH(Search!$B$3,$A2088&amp;"")),N(K2087)+1,N(K2087))))</f>
        <v>0</v>
      </c>
    </row>
    <row r="2089" customFormat="false" ht="15" hidden="false" customHeight="false" outlineLevel="0" collapsed="false">
      <c r="K2089" s="24" t="n">
        <f aca="false">IF(Search!$B$3="",0,IF($A2089="",N(K2088),IF(ISNUMBER(SEARCH(Search!$B$3,$A2089&amp;"")),N(K2088)+1,N(K2088))))</f>
        <v>0</v>
      </c>
    </row>
    <row r="2090" customFormat="false" ht="15" hidden="false" customHeight="false" outlineLevel="0" collapsed="false">
      <c r="K2090" s="24" t="n">
        <f aca="false">IF(Search!$B$3="",0,IF($A2090="",N(K2089),IF(ISNUMBER(SEARCH(Search!$B$3,$A2090&amp;"")),N(K2089)+1,N(K2089))))</f>
        <v>0</v>
      </c>
    </row>
    <row r="2091" customFormat="false" ht="15" hidden="false" customHeight="false" outlineLevel="0" collapsed="false">
      <c r="K2091" s="24" t="n">
        <f aca="false">IF(Search!$B$3="",0,IF($A2091="",N(K2090),IF(ISNUMBER(SEARCH(Search!$B$3,$A2091&amp;"")),N(K2090)+1,N(K2090))))</f>
        <v>0</v>
      </c>
    </row>
    <row r="2092" customFormat="false" ht="15" hidden="false" customHeight="false" outlineLevel="0" collapsed="false">
      <c r="K2092" s="24" t="n">
        <f aca="false">IF(Search!$B$3="",0,IF($A2092="",N(K2091),IF(ISNUMBER(SEARCH(Search!$B$3,$A2092&amp;"")),N(K2091)+1,N(K2091))))</f>
        <v>0</v>
      </c>
    </row>
    <row r="2093" customFormat="false" ht="15" hidden="false" customHeight="false" outlineLevel="0" collapsed="false">
      <c r="K2093" s="24" t="n">
        <f aca="false">IF(Search!$B$3="",0,IF($A2093="",N(K2092),IF(ISNUMBER(SEARCH(Search!$B$3,$A2093&amp;"")),N(K2092)+1,N(K2092))))</f>
        <v>0</v>
      </c>
    </row>
    <row r="2094" customFormat="false" ht="15" hidden="false" customHeight="false" outlineLevel="0" collapsed="false">
      <c r="K2094" s="24" t="n">
        <f aca="false">IF(Search!$B$3="",0,IF($A2094="",N(K2093),IF(ISNUMBER(SEARCH(Search!$B$3,$A2094&amp;"")),N(K2093)+1,N(K2093))))</f>
        <v>0</v>
      </c>
    </row>
    <row r="2095" customFormat="false" ht="15" hidden="false" customHeight="false" outlineLevel="0" collapsed="false">
      <c r="K2095" s="24" t="n">
        <f aca="false">IF(Search!$B$3="",0,IF($A2095="",N(K2094),IF(ISNUMBER(SEARCH(Search!$B$3,$A2095&amp;"")),N(K2094)+1,N(K2094))))</f>
        <v>0</v>
      </c>
    </row>
    <row r="2096" customFormat="false" ht="15" hidden="false" customHeight="false" outlineLevel="0" collapsed="false">
      <c r="K2096" s="24" t="n">
        <f aca="false">IF(Search!$B$3="",0,IF($A2096="",N(K2095),IF(ISNUMBER(SEARCH(Search!$B$3,$A2096&amp;"")),N(K2095)+1,N(K2095))))</f>
        <v>0</v>
      </c>
    </row>
    <row r="2097" customFormat="false" ht="15" hidden="false" customHeight="false" outlineLevel="0" collapsed="false">
      <c r="K2097" s="24" t="n">
        <f aca="false">IF(Search!$B$3="",0,IF($A2097="",N(K2096),IF(ISNUMBER(SEARCH(Search!$B$3,$A2097&amp;"")),N(K2096)+1,N(K2096))))</f>
        <v>0</v>
      </c>
    </row>
    <row r="2098" customFormat="false" ht="15" hidden="false" customHeight="false" outlineLevel="0" collapsed="false">
      <c r="K2098" s="24" t="n">
        <f aca="false">IF(Search!$B$3="",0,IF($A2098="",N(K2097),IF(ISNUMBER(SEARCH(Search!$B$3,$A2098&amp;"")),N(K2097)+1,N(K2097))))</f>
        <v>0</v>
      </c>
    </row>
    <row r="2099" customFormat="false" ht="15" hidden="false" customHeight="false" outlineLevel="0" collapsed="false">
      <c r="K2099" s="24" t="n">
        <f aca="false">IF(Search!$B$3="",0,IF($A2099="",N(K2098),IF(ISNUMBER(SEARCH(Search!$B$3,$A2099&amp;"")),N(K2098)+1,N(K2098))))</f>
        <v>0</v>
      </c>
    </row>
    <row r="2100" customFormat="false" ht="15" hidden="false" customHeight="false" outlineLevel="0" collapsed="false">
      <c r="K2100" s="24" t="n">
        <f aca="false">IF(Search!$B$3="",0,IF($A2100="",N(K2099),IF(ISNUMBER(SEARCH(Search!$B$3,$A2100&amp;"")),N(K2099)+1,N(K2099))))</f>
        <v>0</v>
      </c>
    </row>
    <row r="2101" customFormat="false" ht="15" hidden="false" customHeight="false" outlineLevel="0" collapsed="false">
      <c r="K2101" s="24" t="n">
        <f aca="false">IF(Search!$B$3="",0,IF($A2101="",N(K2100),IF(ISNUMBER(SEARCH(Search!$B$3,$A2101&amp;"")),N(K2100)+1,N(K2100))))</f>
        <v>0</v>
      </c>
    </row>
    <row r="2102" customFormat="false" ht="15" hidden="false" customHeight="false" outlineLevel="0" collapsed="false">
      <c r="K2102" s="24" t="n">
        <f aca="false">IF(Search!$B$3="",0,IF($A2102="",N(K2101),IF(ISNUMBER(SEARCH(Search!$B$3,$A2102&amp;"")),N(K2101)+1,N(K2101))))</f>
        <v>0</v>
      </c>
    </row>
    <row r="2103" customFormat="false" ht="15" hidden="false" customHeight="false" outlineLevel="0" collapsed="false">
      <c r="K2103" s="24" t="n">
        <f aca="false">IF(Search!$B$3="",0,IF($A2103="",N(K2102),IF(ISNUMBER(SEARCH(Search!$B$3,$A2103&amp;"")),N(K2102)+1,N(K2102))))</f>
        <v>0</v>
      </c>
    </row>
    <row r="2104" customFormat="false" ht="15" hidden="false" customHeight="false" outlineLevel="0" collapsed="false">
      <c r="K2104" s="24" t="n">
        <f aca="false">IF(Search!$B$3="",0,IF($A2104="",N(K2103),IF(ISNUMBER(SEARCH(Search!$B$3,$A2104&amp;"")),N(K2103)+1,N(K2103))))</f>
        <v>0</v>
      </c>
    </row>
    <row r="2105" customFormat="false" ht="15" hidden="false" customHeight="false" outlineLevel="0" collapsed="false">
      <c r="K2105" s="24" t="n">
        <f aca="false">IF(Search!$B$3="",0,IF($A2105="",N(K2104),IF(ISNUMBER(SEARCH(Search!$B$3,$A2105&amp;"")),N(K2104)+1,N(K2104))))</f>
        <v>0</v>
      </c>
    </row>
    <row r="2106" customFormat="false" ht="15" hidden="false" customHeight="false" outlineLevel="0" collapsed="false">
      <c r="K2106" s="24" t="n">
        <f aca="false">IF(Search!$B$3="",0,IF($A2106="",N(K2105),IF(ISNUMBER(SEARCH(Search!$B$3,$A2106&amp;"")),N(K2105)+1,N(K2105))))</f>
        <v>0</v>
      </c>
    </row>
    <row r="2107" customFormat="false" ht="15" hidden="false" customHeight="false" outlineLevel="0" collapsed="false">
      <c r="K2107" s="24" t="n">
        <f aca="false">IF(Search!$B$3="",0,IF($A2107="",N(K2106),IF(ISNUMBER(SEARCH(Search!$B$3,$A2107&amp;"")),N(K2106)+1,N(K2106))))</f>
        <v>0</v>
      </c>
    </row>
    <row r="2108" customFormat="false" ht="15" hidden="false" customHeight="false" outlineLevel="0" collapsed="false">
      <c r="K2108" s="24" t="n">
        <f aca="false">IF(Search!$B$3="",0,IF($A2108="",N(K2107),IF(ISNUMBER(SEARCH(Search!$B$3,$A2108&amp;"")),N(K2107)+1,N(K2107))))</f>
        <v>0</v>
      </c>
    </row>
    <row r="2109" customFormat="false" ht="15" hidden="false" customHeight="false" outlineLevel="0" collapsed="false">
      <c r="K2109" s="24" t="n">
        <f aca="false">IF(Search!$B$3="",0,IF($A2109="",N(K2108),IF(ISNUMBER(SEARCH(Search!$B$3,$A2109&amp;"")),N(K2108)+1,N(K2108))))</f>
        <v>0</v>
      </c>
    </row>
    <row r="2110" customFormat="false" ht="15" hidden="false" customHeight="false" outlineLevel="0" collapsed="false">
      <c r="K2110" s="24" t="n">
        <f aca="false">IF(Search!$B$3="",0,IF($A2110="",N(K2109),IF(ISNUMBER(SEARCH(Search!$B$3,$A2110&amp;"")),N(K2109)+1,N(K2109))))</f>
        <v>0</v>
      </c>
    </row>
    <row r="2111" customFormat="false" ht="15" hidden="false" customHeight="false" outlineLevel="0" collapsed="false">
      <c r="K2111" s="24" t="n">
        <f aca="false">IF(Search!$B$3="",0,IF($A2111="",N(K2110),IF(ISNUMBER(SEARCH(Search!$B$3,$A2111&amp;"")),N(K2110)+1,N(K2110))))</f>
        <v>0</v>
      </c>
    </row>
    <row r="2112" customFormat="false" ht="15" hidden="false" customHeight="false" outlineLevel="0" collapsed="false">
      <c r="K2112" s="24" t="n">
        <f aca="false">IF(Search!$B$3="",0,IF($A2112="",N(K2111),IF(ISNUMBER(SEARCH(Search!$B$3,$A2112&amp;"")),N(K2111)+1,N(K2111))))</f>
        <v>0</v>
      </c>
    </row>
    <row r="2113" customFormat="false" ht="15" hidden="false" customHeight="false" outlineLevel="0" collapsed="false">
      <c r="K2113" s="24" t="n">
        <f aca="false">IF(Search!$B$3="",0,IF($A2113="",N(K2112),IF(ISNUMBER(SEARCH(Search!$B$3,$A2113&amp;"")),N(K2112)+1,N(K2112))))</f>
        <v>0</v>
      </c>
    </row>
    <row r="2114" customFormat="false" ht="15" hidden="false" customHeight="false" outlineLevel="0" collapsed="false">
      <c r="K2114" s="24" t="n">
        <f aca="false">IF(Search!$B$3="",0,IF($A2114="",N(K2113),IF(ISNUMBER(SEARCH(Search!$B$3,$A2114&amp;"")),N(K2113)+1,N(K2113))))</f>
        <v>0</v>
      </c>
    </row>
    <row r="2115" customFormat="false" ht="15" hidden="false" customHeight="false" outlineLevel="0" collapsed="false">
      <c r="K2115" s="24" t="n">
        <f aca="false">IF(Search!$B$3="",0,IF($A2115="",N(K2114),IF(ISNUMBER(SEARCH(Search!$B$3,$A2115&amp;"")),N(K2114)+1,N(K2114))))</f>
        <v>0</v>
      </c>
    </row>
    <row r="2116" customFormat="false" ht="15" hidden="false" customHeight="false" outlineLevel="0" collapsed="false">
      <c r="K2116" s="24" t="n">
        <f aca="false">IF(Search!$B$3="",0,IF($A2116="",N(K2115),IF(ISNUMBER(SEARCH(Search!$B$3,$A2116&amp;"")),N(K2115)+1,N(K2115))))</f>
        <v>0</v>
      </c>
    </row>
    <row r="2117" customFormat="false" ht="15" hidden="false" customHeight="false" outlineLevel="0" collapsed="false">
      <c r="K2117" s="24" t="n">
        <f aca="false">IF(Search!$B$3="",0,IF($A2117="",N(K2116),IF(ISNUMBER(SEARCH(Search!$B$3,$A2117&amp;"")),N(K2116)+1,N(K2116))))</f>
        <v>0</v>
      </c>
    </row>
    <row r="2118" customFormat="false" ht="15" hidden="false" customHeight="false" outlineLevel="0" collapsed="false">
      <c r="K2118" s="24" t="n">
        <f aca="false">IF(Search!$B$3="",0,IF($A2118="",N(K2117),IF(ISNUMBER(SEARCH(Search!$B$3,$A2118&amp;"")),N(K2117)+1,N(K2117))))</f>
        <v>0</v>
      </c>
    </row>
    <row r="2119" customFormat="false" ht="15" hidden="false" customHeight="false" outlineLevel="0" collapsed="false">
      <c r="K2119" s="24" t="n">
        <f aca="false">IF(Search!$B$3="",0,IF($A2119="",N(K2118),IF(ISNUMBER(SEARCH(Search!$B$3,$A2119&amp;"")),N(K2118)+1,N(K2118))))</f>
        <v>0</v>
      </c>
    </row>
    <row r="2120" customFormat="false" ht="15" hidden="false" customHeight="false" outlineLevel="0" collapsed="false">
      <c r="K2120" s="24" t="n">
        <f aca="false">IF(Search!$B$3="",0,IF($A2120="",N(K2119),IF(ISNUMBER(SEARCH(Search!$B$3,$A2120&amp;"")),N(K2119)+1,N(K2119))))</f>
        <v>0</v>
      </c>
    </row>
    <row r="2121" customFormat="false" ht="15" hidden="false" customHeight="false" outlineLevel="0" collapsed="false">
      <c r="K2121" s="24" t="n">
        <f aca="false">IF(Search!$B$3="",0,IF($A2121="",N(K2120),IF(ISNUMBER(SEARCH(Search!$B$3,$A2121&amp;"")),N(K2120)+1,N(K2120))))</f>
        <v>0</v>
      </c>
    </row>
    <row r="2122" customFormat="false" ht="15" hidden="false" customHeight="false" outlineLevel="0" collapsed="false">
      <c r="K2122" s="24" t="n">
        <f aca="false">IF(Search!$B$3="",0,IF($A2122="",N(K2121),IF(ISNUMBER(SEARCH(Search!$B$3,$A2122&amp;"")),N(K2121)+1,N(K2121))))</f>
        <v>0</v>
      </c>
    </row>
    <row r="2123" customFormat="false" ht="15" hidden="false" customHeight="false" outlineLevel="0" collapsed="false">
      <c r="K2123" s="24" t="n">
        <f aca="false">IF(Search!$B$3="",0,IF($A2123="",N(K2122),IF(ISNUMBER(SEARCH(Search!$B$3,$A2123&amp;"")),N(K2122)+1,N(K2122))))</f>
        <v>0</v>
      </c>
    </row>
    <row r="2124" customFormat="false" ht="15" hidden="false" customHeight="false" outlineLevel="0" collapsed="false">
      <c r="K2124" s="24" t="n">
        <f aca="false">IF(Search!$B$3="",0,IF($A2124="",N(K2123),IF(ISNUMBER(SEARCH(Search!$B$3,$A2124&amp;"")),N(K2123)+1,N(K2123))))</f>
        <v>0</v>
      </c>
    </row>
    <row r="2125" customFormat="false" ht="15" hidden="false" customHeight="false" outlineLevel="0" collapsed="false">
      <c r="K2125" s="24" t="n">
        <f aca="false">IF(Search!$B$3="",0,IF($A2125="",N(K2124),IF(ISNUMBER(SEARCH(Search!$B$3,$A2125&amp;"")),N(K2124)+1,N(K2124))))</f>
        <v>0</v>
      </c>
    </row>
    <row r="2126" customFormat="false" ht="15" hidden="false" customHeight="false" outlineLevel="0" collapsed="false">
      <c r="K2126" s="24" t="n">
        <f aca="false">IF(Search!$B$3="",0,IF($A2126="",N(K2125),IF(ISNUMBER(SEARCH(Search!$B$3,$A2126&amp;"")),N(K2125)+1,N(K2125))))</f>
        <v>0</v>
      </c>
    </row>
    <row r="2127" customFormat="false" ht="15" hidden="false" customHeight="false" outlineLevel="0" collapsed="false">
      <c r="K2127" s="24" t="n">
        <f aca="false">IF(Search!$B$3="",0,IF($A2127="",N(K2126),IF(ISNUMBER(SEARCH(Search!$B$3,$A2127&amp;"")),N(K2126)+1,N(K2126))))</f>
        <v>0</v>
      </c>
    </row>
    <row r="2128" customFormat="false" ht="15" hidden="false" customHeight="false" outlineLevel="0" collapsed="false">
      <c r="K2128" s="24" t="n">
        <f aca="false">IF(Search!$B$3="",0,IF($A2128="",N(K2127),IF(ISNUMBER(SEARCH(Search!$B$3,$A2128&amp;"")),N(K2127)+1,N(K2127))))</f>
        <v>0</v>
      </c>
    </row>
    <row r="2129" customFormat="false" ht="15" hidden="false" customHeight="false" outlineLevel="0" collapsed="false">
      <c r="K2129" s="24" t="n">
        <f aca="false">IF(Search!$B$3="",0,IF($A2129="",N(K2128),IF(ISNUMBER(SEARCH(Search!$B$3,$A2129&amp;"")),N(K2128)+1,N(K2128))))</f>
        <v>0</v>
      </c>
    </row>
    <row r="2130" customFormat="false" ht="15" hidden="false" customHeight="false" outlineLevel="0" collapsed="false">
      <c r="K2130" s="24" t="n">
        <f aca="false">IF(Search!$B$3="",0,IF($A2130="",N(K2129),IF(ISNUMBER(SEARCH(Search!$B$3,$A2130&amp;"")),N(K2129)+1,N(K2129))))</f>
        <v>0</v>
      </c>
    </row>
    <row r="2131" customFormat="false" ht="15" hidden="false" customHeight="false" outlineLevel="0" collapsed="false">
      <c r="K2131" s="24" t="n">
        <f aca="false">IF(Search!$B$3="",0,IF($A2131="",N(K2130),IF(ISNUMBER(SEARCH(Search!$B$3,$A2131&amp;"")),N(K2130)+1,N(K2130))))</f>
        <v>0</v>
      </c>
    </row>
    <row r="2132" customFormat="false" ht="15" hidden="false" customHeight="false" outlineLevel="0" collapsed="false">
      <c r="K2132" s="24" t="n">
        <f aca="false">IF(Search!$B$3="",0,IF($A2132="",N(K2131),IF(ISNUMBER(SEARCH(Search!$B$3,$A2132&amp;"")),N(K2131)+1,N(K2131))))</f>
        <v>0</v>
      </c>
    </row>
    <row r="2133" customFormat="false" ht="15" hidden="false" customHeight="false" outlineLevel="0" collapsed="false">
      <c r="K2133" s="24" t="n">
        <f aca="false">IF(Search!$B$3="",0,IF($A2133="",N(K2132),IF(ISNUMBER(SEARCH(Search!$B$3,$A2133&amp;"")),N(K2132)+1,N(K2132))))</f>
        <v>0</v>
      </c>
    </row>
    <row r="2134" customFormat="false" ht="15" hidden="false" customHeight="false" outlineLevel="0" collapsed="false">
      <c r="K2134" s="24" t="n">
        <f aca="false">IF(Search!$B$3="",0,IF($A2134="",N(K2133),IF(ISNUMBER(SEARCH(Search!$B$3,$A2134&amp;"")),N(K2133)+1,N(K2133))))</f>
        <v>0</v>
      </c>
    </row>
    <row r="2135" customFormat="false" ht="15" hidden="false" customHeight="false" outlineLevel="0" collapsed="false">
      <c r="K2135" s="24" t="n">
        <f aca="false">IF(Search!$B$3="",0,IF($A2135="",N(K2134),IF(ISNUMBER(SEARCH(Search!$B$3,$A2135&amp;"")),N(K2134)+1,N(K2134))))</f>
        <v>0</v>
      </c>
    </row>
    <row r="2136" customFormat="false" ht="15" hidden="false" customHeight="false" outlineLevel="0" collapsed="false">
      <c r="K2136" s="24" t="n">
        <f aca="false">IF(Search!$B$3="",0,IF($A2136="",N(K2135),IF(ISNUMBER(SEARCH(Search!$B$3,$A2136&amp;"")),N(K2135)+1,N(K2135))))</f>
        <v>0</v>
      </c>
    </row>
    <row r="2137" customFormat="false" ht="15" hidden="false" customHeight="false" outlineLevel="0" collapsed="false">
      <c r="K2137" s="24" t="n">
        <f aca="false">IF(Search!$B$3="",0,IF($A2137="",N(K2136),IF(ISNUMBER(SEARCH(Search!$B$3,$A2137&amp;"")),N(K2136)+1,N(K2136))))</f>
        <v>0</v>
      </c>
    </row>
    <row r="2138" customFormat="false" ht="15" hidden="false" customHeight="false" outlineLevel="0" collapsed="false">
      <c r="K2138" s="24" t="n">
        <f aca="false">IF(Search!$B$3="",0,IF($A2138="",N(K2137),IF(ISNUMBER(SEARCH(Search!$B$3,$A2138&amp;"")),N(K2137)+1,N(K2137))))</f>
        <v>0</v>
      </c>
    </row>
    <row r="2139" customFormat="false" ht="15" hidden="false" customHeight="false" outlineLevel="0" collapsed="false">
      <c r="K2139" s="24" t="n">
        <f aca="false">IF(Search!$B$3="",0,IF($A2139="",N(K2138),IF(ISNUMBER(SEARCH(Search!$B$3,$A2139&amp;"")),N(K2138)+1,N(K2138))))</f>
        <v>0</v>
      </c>
    </row>
    <row r="2140" customFormat="false" ht="15" hidden="false" customHeight="false" outlineLevel="0" collapsed="false">
      <c r="K2140" s="24" t="n">
        <f aca="false">IF(Search!$B$3="",0,IF($A2140="",N(K2139),IF(ISNUMBER(SEARCH(Search!$B$3,$A2140&amp;"")),N(K2139)+1,N(K2139))))</f>
        <v>0</v>
      </c>
    </row>
    <row r="2141" customFormat="false" ht="15" hidden="false" customHeight="false" outlineLevel="0" collapsed="false">
      <c r="K2141" s="24" t="n">
        <f aca="false">IF(Search!$B$3="",0,IF($A2141="",N(K2140),IF(ISNUMBER(SEARCH(Search!$B$3,$A2141&amp;"")),N(K2140)+1,N(K2140))))</f>
        <v>0</v>
      </c>
    </row>
    <row r="2142" customFormat="false" ht="15" hidden="false" customHeight="false" outlineLevel="0" collapsed="false">
      <c r="K2142" s="24" t="n">
        <f aca="false">IF(Search!$B$3="",0,IF($A2142="",N(K2141),IF(ISNUMBER(SEARCH(Search!$B$3,$A2142&amp;"")),N(K2141)+1,N(K2141))))</f>
        <v>0</v>
      </c>
    </row>
    <row r="2143" customFormat="false" ht="15" hidden="false" customHeight="false" outlineLevel="0" collapsed="false">
      <c r="K2143" s="24" t="n">
        <f aca="false">IF(Search!$B$3="",0,IF($A2143="",N(K2142),IF(ISNUMBER(SEARCH(Search!$B$3,$A2143&amp;"")),N(K2142)+1,N(K2142))))</f>
        <v>0</v>
      </c>
    </row>
    <row r="2144" customFormat="false" ht="15" hidden="false" customHeight="false" outlineLevel="0" collapsed="false">
      <c r="K2144" s="24" t="n">
        <f aca="false">IF(Search!$B$3="",0,IF($A2144="",N(K2143),IF(ISNUMBER(SEARCH(Search!$B$3,$A2144&amp;"")),N(K2143)+1,N(K2143))))</f>
        <v>0</v>
      </c>
    </row>
    <row r="2145" customFormat="false" ht="15" hidden="false" customHeight="false" outlineLevel="0" collapsed="false">
      <c r="K2145" s="24" t="n">
        <f aca="false">IF(Search!$B$3="",0,IF($A2145="",N(K2144),IF(ISNUMBER(SEARCH(Search!$B$3,$A2145&amp;"")),N(K2144)+1,N(K2144))))</f>
        <v>0</v>
      </c>
    </row>
    <row r="2146" customFormat="false" ht="15" hidden="false" customHeight="false" outlineLevel="0" collapsed="false">
      <c r="K2146" s="24" t="n">
        <f aca="false">IF(Search!$B$3="",0,IF($A2146="",N(K2145),IF(ISNUMBER(SEARCH(Search!$B$3,$A2146&amp;"")),N(K2145)+1,N(K2145))))</f>
        <v>0</v>
      </c>
    </row>
    <row r="2147" customFormat="false" ht="15" hidden="false" customHeight="false" outlineLevel="0" collapsed="false">
      <c r="K2147" s="24" t="n">
        <f aca="false">IF(Search!$B$3="",0,IF($A2147="",N(K2146),IF(ISNUMBER(SEARCH(Search!$B$3,$A2147&amp;"")),N(K2146)+1,N(K2146))))</f>
        <v>0</v>
      </c>
    </row>
    <row r="2148" customFormat="false" ht="15" hidden="false" customHeight="false" outlineLevel="0" collapsed="false">
      <c r="K2148" s="24" t="n">
        <f aca="false">IF(Search!$B$3="",0,IF($A2148="",N(K2147),IF(ISNUMBER(SEARCH(Search!$B$3,$A2148&amp;"")),N(K2147)+1,N(K2147))))</f>
        <v>0</v>
      </c>
    </row>
    <row r="2149" customFormat="false" ht="15" hidden="false" customHeight="false" outlineLevel="0" collapsed="false">
      <c r="K2149" s="24" t="n">
        <f aca="false">IF(Search!$B$3="",0,IF($A2149="",N(K2148),IF(ISNUMBER(SEARCH(Search!$B$3,$A2149&amp;"")),N(K2148)+1,N(K2148))))</f>
        <v>0</v>
      </c>
    </row>
    <row r="2150" customFormat="false" ht="15" hidden="false" customHeight="false" outlineLevel="0" collapsed="false">
      <c r="K2150" s="24" t="n">
        <f aca="false">IF(Search!$B$3="",0,IF($A2150="",N(K2149),IF(ISNUMBER(SEARCH(Search!$B$3,$A2150&amp;"")),N(K2149)+1,N(K2149))))</f>
        <v>0</v>
      </c>
    </row>
    <row r="2151" customFormat="false" ht="15" hidden="false" customHeight="false" outlineLevel="0" collapsed="false">
      <c r="K2151" s="24" t="n">
        <f aca="false">IF(Search!$B$3="",0,IF($A2151="",N(K2150),IF(ISNUMBER(SEARCH(Search!$B$3,$A2151&amp;"")),N(K2150)+1,N(K2150))))</f>
        <v>0</v>
      </c>
    </row>
    <row r="2152" customFormat="false" ht="15" hidden="false" customHeight="false" outlineLevel="0" collapsed="false">
      <c r="K2152" s="24" t="n">
        <f aca="false">IF(Search!$B$3="",0,IF($A2152="",N(K2151),IF(ISNUMBER(SEARCH(Search!$B$3,$A2152&amp;"")),N(K2151)+1,N(K2151))))</f>
        <v>0</v>
      </c>
    </row>
    <row r="2153" customFormat="false" ht="15" hidden="false" customHeight="false" outlineLevel="0" collapsed="false">
      <c r="K2153" s="24" t="n">
        <f aca="false">IF(Search!$B$3="",0,IF($A2153="",N(K2152),IF(ISNUMBER(SEARCH(Search!$B$3,$A2153&amp;"")),N(K2152)+1,N(K2152))))</f>
        <v>0</v>
      </c>
    </row>
    <row r="2154" customFormat="false" ht="15" hidden="false" customHeight="false" outlineLevel="0" collapsed="false">
      <c r="K2154" s="24" t="n">
        <f aca="false">IF(Search!$B$3="",0,IF($A2154="",N(K2153),IF(ISNUMBER(SEARCH(Search!$B$3,$A2154&amp;"")),N(K2153)+1,N(K2153))))</f>
        <v>0</v>
      </c>
    </row>
    <row r="2155" customFormat="false" ht="15" hidden="false" customHeight="false" outlineLevel="0" collapsed="false">
      <c r="K2155" s="24" t="n">
        <f aca="false">IF(Search!$B$3="",0,IF($A2155="",N(K2154),IF(ISNUMBER(SEARCH(Search!$B$3,$A2155&amp;"")),N(K2154)+1,N(K2154))))</f>
        <v>0</v>
      </c>
    </row>
    <row r="2156" customFormat="false" ht="15" hidden="false" customHeight="false" outlineLevel="0" collapsed="false">
      <c r="K2156" s="24" t="n">
        <f aca="false">IF(Search!$B$3="",0,IF($A2156="",N(K2155),IF(ISNUMBER(SEARCH(Search!$B$3,$A2156&amp;"")),N(K2155)+1,N(K2155))))</f>
        <v>0</v>
      </c>
    </row>
    <row r="2157" customFormat="false" ht="15" hidden="false" customHeight="false" outlineLevel="0" collapsed="false">
      <c r="K2157" s="24" t="n">
        <f aca="false">IF(Search!$B$3="",0,IF($A2157="",N(K2156),IF(ISNUMBER(SEARCH(Search!$B$3,$A2157&amp;"")),N(K2156)+1,N(K2156))))</f>
        <v>0</v>
      </c>
    </row>
    <row r="2158" customFormat="false" ht="15" hidden="false" customHeight="false" outlineLevel="0" collapsed="false">
      <c r="K2158" s="24" t="n">
        <f aca="false">IF(Search!$B$3="",0,IF($A2158="",N(K2157),IF(ISNUMBER(SEARCH(Search!$B$3,$A2158&amp;"")),N(K2157)+1,N(K2157))))</f>
        <v>0</v>
      </c>
    </row>
    <row r="2159" customFormat="false" ht="15" hidden="false" customHeight="false" outlineLevel="0" collapsed="false">
      <c r="K2159" s="24" t="n">
        <f aca="false">IF(Search!$B$3="",0,IF($A2159="",N(K2158),IF(ISNUMBER(SEARCH(Search!$B$3,$A2159&amp;"")),N(K2158)+1,N(K2158))))</f>
        <v>0</v>
      </c>
    </row>
    <row r="2160" customFormat="false" ht="15" hidden="false" customHeight="false" outlineLevel="0" collapsed="false">
      <c r="K2160" s="24" t="n">
        <f aca="false">IF(Search!$B$3="",0,IF($A2160="",N(K2159),IF(ISNUMBER(SEARCH(Search!$B$3,$A2160&amp;"")),N(K2159)+1,N(K2159))))</f>
        <v>0</v>
      </c>
    </row>
    <row r="2161" customFormat="false" ht="15" hidden="false" customHeight="false" outlineLevel="0" collapsed="false">
      <c r="K2161" s="24" t="n">
        <f aca="false">IF(Search!$B$3="",0,IF($A2161="",N(K2160),IF(ISNUMBER(SEARCH(Search!$B$3,$A2161&amp;"")),N(K2160)+1,N(K2160))))</f>
        <v>0</v>
      </c>
    </row>
    <row r="2162" customFormat="false" ht="15" hidden="false" customHeight="false" outlineLevel="0" collapsed="false">
      <c r="K2162" s="24" t="n">
        <f aca="false">IF(Search!$B$3="",0,IF($A2162="",N(K2161),IF(ISNUMBER(SEARCH(Search!$B$3,$A2162&amp;"")),N(K2161)+1,N(K2161))))</f>
        <v>0</v>
      </c>
    </row>
    <row r="2163" customFormat="false" ht="15" hidden="false" customHeight="false" outlineLevel="0" collapsed="false">
      <c r="K2163" s="24" t="n">
        <f aca="false">IF(Search!$B$3="",0,IF($A2163="",N(K2162),IF(ISNUMBER(SEARCH(Search!$B$3,$A2163&amp;"")),N(K2162)+1,N(K2162))))</f>
        <v>0</v>
      </c>
    </row>
    <row r="2164" customFormat="false" ht="15" hidden="false" customHeight="false" outlineLevel="0" collapsed="false">
      <c r="K2164" s="24" t="n">
        <f aca="false">IF(Search!$B$3="",0,IF($A2164="",N(K2163),IF(ISNUMBER(SEARCH(Search!$B$3,$A2164&amp;"")),N(K2163)+1,N(K2163))))</f>
        <v>0</v>
      </c>
    </row>
    <row r="2165" customFormat="false" ht="15" hidden="false" customHeight="false" outlineLevel="0" collapsed="false">
      <c r="K2165" s="24" t="n">
        <f aca="false">IF(Search!$B$3="",0,IF($A2165="",N(K2164),IF(ISNUMBER(SEARCH(Search!$B$3,$A2165&amp;"")),N(K2164)+1,N(K2164))))</f>
        <v>0</v>
      </c>
    </row>
    <row r="2166" customFormat="false" ht="15" hidden="false" customHeight="false" outlineLevel="0" collapsed="false">
      <c r="K2166" s="24" t="n">
        <f aca="false">IF(Search!$B$3="",0,IF($A2166="",N(K2165),IF(ISNUMBER(SEARCH(Search!$B$3,$A2166&amp;"")),N(K2165)+1,N(K2165))))</f>
        <v>0</v>
      </c>
    </row>
    <row r="2167" customFormat="false" ht="15" hidden="false" customHeight="false" outlineLevel="0" collapsed="false">
      <c r="K2167" s="24" t="n">
        <f aca="false">IF(Search!$B$3="",0,IF($A2167="",N(K2166),IF(ISNUMBER(SEARCH(Search!$B$3,$A2167&amp;"")),N(K2166)+1,N(K2166))))</f>
        <v>0</v>
      </c>
    </row>
    <row r="2168" customFormat="false" ht="15" hidden="false" customHeight="false" outlineLevel="0" collapsed="false">
      <c r="K2168" s="24" t="n">
        <f aca="false">IF(Search!$B$3="",0,IF($A2168="",N(K2167),IF(ISNUMBER(SEARCH(Search!$B$3,$A2168&amp;"")),N(K2167)+1,N(K2167))))</f>
        <v>0</v>
      </c>
    </row>
    <row r="2169" customFormat="false" ht="15" hidden="false" customHeight="false" outlineLevel="0" collapsed="false">
      <c r="K2169" s="24" t="n">
        <f aca="false">IF(Search!$B$3="",0,IF($A2169="",N(K2168),IF(ISNUMBER(SEARCH(Search!$B$3,$A2169&amp;"")),N(K2168)+1,N(K2168))))</f>
        <v>0</v>
      </c>
    </row>
    <row r="2170" customFormat="false" ht="15" hidden="false" customHeight="false" outlineLevel="0" collapsed="false">
      <c r="K2170" s="24" t="n">
        <f aca="false">IF(Search!$B$3="",0,IF($A2170="",N(K2169),IF(ISNUMBER(SEARCH(Search!$B$3,$A2170&amp;"")),N(K2169)+1,N(K2169))))</f>
        <v>0</v>
      </c>
    </row>
    <row r="2171" customFormat="false" ht="15" hidden="false" customHeight="false" outlineLevel="0" collapsed="false">
      <c r="K2171" s="24" t="n">
        <f aca="false">IF(Search!$B$3="",0,IF($A2171="",N(K2170),IF(ISNUMBER(SEARCH(Search!$B$3,$A2171&amp;"")),N(K2170)+1,N(K2170))))</f>
        <v>0</v>
      </c>
    </row>
    <row r="2172" customFormat="false" ht="15" hidden="false" customHeight="false" outlineLevel="0" collapsed="false">
      <c r="K2172" s="24" t="n">
        <f aca="false">IF(Search!$B$3="",0,IF($A2172="",N(K2171),IF(ISNUMBER(SEARCH(Search!$B$3,$A2172&amp;"")),N(K2171)+1,N(K2171))))</f>
        <v>0</v>
      </c>
    </row>
    <row r="2173" customFormat="false" ht="15" hidden="false" customHeight="false" outlineLevel="0" collapsed="false">
      <c r="K2173" s="24" t="n">
        <f aca="false">IF(Search!$B$3="",0,IF($A2173="",N(K2172),IF(ISNUMBER(SEARCH(Search!$B$3,$A2173&amp;"")),N(K2172)+1,N(K2172))))</f>
        <v>0</v>
      </c>
    </row>
    <row r="2174" customFormat="false" ht="15" hidden="false" customHeight="false" outlineLevel="0" collapsed="false">
      <c r="K2174" s="24" t="n">
        <f aca="false">IF(Search!$B$3="",0,IF($A2174="",N(K2173),IF(ISNUMBER(SEARCH(Search!$B$3,$A2174&amp;"")),N(K2173)+1,N(K2173))))</f>
        <v>0</v>
      </c>
    </row>
    <row r="2175" customFormat="false" ht="15" hidden="false" customHeight="false" outlineLevel="0" collapsed="false">
      <c r="K2175" s="24" t="n">
        <f aca="false">IF(Search!$B$3="",0,IF($A2175="",N(K2174),IF(ISNUMBER(SEARCH(Search!$B$3,$A2175&amp;"")),N(K2174)+1,N(K2174))))</f>
        <v>0</v>
      </c>
    </row>
    <row r="2176" customFormat="false" ht="15" hidden="false" customHeight="false" outlineLevel="0" collapsed="false">
      <c r="K2176" s="24" t="n">
        <f aca="false">IF(Search!$B$3="",0,IF($A2176="",N(K2175),IF(ISNUMBER(SEARCH(Search!$B$3,$A2176&amp;"")),N(K2175)+1,N(K2175))))</f>
        <v>0</v>
      </c>
    </row>
    <row r="2177" customFormat="false" ht="15" hidden="false" customHeight="false" outlineLevel="0" collapsed="false">
      <c r="K2177" s="24" t="n">
        <f aca="false">IF(Search!$B$3="",0,IF($A2177="",N(K2176),IF(ISNUMBER(SEARCH(Search!$B$3,$A2177&amp;"")),N(K2176)+1,N(K2176))))</f>
        <v>0</v>
      </c>
    </row>
    <row r="2178" customFormat="false" ht="15" hidden="false" customHeight="false" outlineLevel="0" collapsed="false">
      <c r="K2178" s="24" t="n">
        <f aca="false">IF(Search!$B$3="",0,IF($A2178="",N(K2177),IF(ISNUMBER(SEARCH(Search!$B$3,$A2178&amp;"")),N(K2177)+1,N(K2177))))</f>
        <v>0</v>
      </c>
    </row>
    <row r="2179" customFormat="false" ht="15" hidden="false" customHeight="false" outlineLevel="0" collapsed="false">
      <c r="K2179" s="24" t="n">
        <f aca="false">IF(Search!$B$3="",0,IF($A2179="",N(K2178),IF(ISNUMBER(SEARCH(Search!$B$3,$A2179&amp;"")),N(K2178)+1,N(K2178))))</f>
        <v>0</v>
      </c>
    </row>
    <row r="2180" customFormat="false" ht="15" hidden="false" customHeight="false" outlineLevel="0" collapsed="false">
      <c r="K2180" s="24" t="n">
        <f aca="false">IF(Search!$B$3="",0,IF($A2180="",N(K2179),IF(ISNUMBER(SEARCH(Search!$B$3,$A2180&amp;"")),N(K2179)+1,N(K2179))))</f>
        <v>0</v>
      </c>
    </row>
    <row r="2181" customFormat="false" ht="15" hidden="false" customHeight="false" outlineLevel="0" collapsed="false">
      <c r="K2181" s="24" t="n">
        <f aca="false">IF(Search!$B$3="",0,IF($A2181="",N(K2180),IF(ISNUMBER(SEARCH(Search!$B$3,$A2181&amp;"")),N(K2180)+1,N(K2180))))</f>
        <v>0</v>
      </c>
    </row>
    <row r="2182" customFormat="false" ht="15" hidden="false" customHeight="false" outlineLevel="0" collapsed="false">
      <c r="K2182" s="24" t="n">
        <f aca="false">IF(Search!$B$3="",0,IF($A2182="",N(K2181),IF(ISNUMBER(SEARCH(Search!$B$3,$A2182&amp;"")),N(K2181)+1,N(K2181))))</f>
        <v>0</v>
      </c>
    </row>
    <row r="2183" customFormat="false" ht="15" hidden="false" customHeight="false" outlineLevel="0" collapsed="false">
      <c r="K2183" s="24" t="n">
        <f aca="false">IF(Search!$B$3="",0,IF($A2183="",N(K2182),IF(ISNUMBER(SEARCH(Search!$B$3,$A2183&amp;"")),N(K2182)+1,N(K2182))))</f>
        <v>0</v>
      </c>
    </row>
    <row r="2184" customFormat="false" ht="15" hidden="false" customHeight="false" outlineLevel="0" collapsed="false">
      <c r="K2184" s="24" t="n">
        <f aca="false">IF(Search!$B$3="",0,IF($A2184="",N(K2183),IF(ISNUMBER(SEARCH(Search!$B$3,$A2184&amp;"")),N(K2183)+1,N(K2183))))</f>
        <v>0</v>
      </c>
    </row>
    <row r="2185" customFormat="false" ht="15" hidden="false" customHeight="false" outlineLevel="0" collapsed="false">
      <c r="K2185" s="24" t="n">
        <f aca="false">IF(Search!$B$3="",0,IF($A2185="",N(K2184),IF(ISNUMBER(SEARCH(Search!$B$3,$A2185&amp;"")),N(K2184)+1,N(K2184))))</f>
        <v>0</v>
      </c>
    </row>
    <row r="2186" customFormat="false" ht="15" hidden="false" customHeight="false" outlineLevel="0" collapsed="false">
      <c r="K2186" s="24" t="n">
        <f aca="false">IF(Search!$B$3="",0,IF($A2186="",N(K2185),IF(ISNUMBER(SEARCH(Search!$B$3,$A2186&amp;"")),N(K2185)+1,N(K2185))))</f>
        <v>0</v>
      </c>
    </row>
    <row r="2187" customFormat="false" ht="15" hidden="false" customHeight="false" outlineLevel="0" collapsed="false">
      <c r="K2187" s="24" t="n">
        <f aca="false">IF(Search!$B$3="",0,IF($A2187="",N(K2186),IF(ISNUMBER(SEARCH(Search!$B$3,$A2187&amp;"")),N(K2186)+1,N(K2186))))</f>
        <v>0</v>
      </c>
    </row>
    <row r="2188" customFormat="false" ht="15" hidden="false" customHeight="false" outlineLevel="0" collapsed="false">
      <c r="K2188" s="24" t="n">
        <f aca="false">IF(Search!$B$3="",0,IF($A2188="",N(K2187),IF(ISNUMBER(SEARCH(Search!$B$3,$A2188&amp;"")),N(K2187)+1,N(K2187))))</f>
        <v>0</v>
      </c>
    </row>
    <row r="2189" customFormat="false" ht="15" hidden="false" customHeight="false" outlineLevel="0" collapsed="false">
      <c r="K2189" s="24" t="n">
        <f aca="false">IF(Search!$B$3="",0,IF($A2189="",N(K2188),IF(ISNUMBER(SEARCH(Search!$B$3,$A2189&amp;"")),N(K2188)+1,N(K2188))))</f>
        <v>0</v>
      </c>
    </row>
    <row r="2190" customFormat="false" ht="15" hidden="false" customHeight="false" outlineLevel="0" collapsed="false">
      <c r="K2190" s="24" t="n">
        <f aca="false">IF(Search!$B$3="",0,IF($A2190="",N(K2189),IF(ISNUMBER(SEARCH(Search!$B$3,$A2190&amp;"")),N(K2189)+1,N(K2189))))</f>
        <v>0</v>
      </c>
    </row>
    <row r="2191" customFormat="false" ht="15" hidden="false" customHeight="false" outlineLevel="0" collapsed="false">
      <c r="K2191" s="24" t="n">
        <f aca="false">IF(Search!$B$3="",0,IF($A2191="",N(K2190),IF(ISNUMBER(SEARCH(Search!$B$3,$A2191&amp;"")),N(K2190)+1,N(K2190))))</f>
        <v>0</v>
      </c>
    </row>
    <row r="2192" customFormat="false" ht="15" hidden="false" customHeight="false" outlineLevel="0" collapsed="false">
      <c r="K2192" s="24" t="n">
        <f aca="false">IF(Search!$B$3="",0,IF($A2192="",N(K2191),IF(ISNUMBER(SEARCH(Search!$B$3,$A2192&amp;"")),N(K2191)+1,N(K2191))))</f>
        <v>0</v>
      </c>
    </row>
    <row r="2193" customFormat="false" ht="15" hidden="false" customHeight="false" outlineLevel="0" collapsed="false">
      <c r="K2193" s="24" t="n">
        <f aca="false">IF(Search!$B$3="",0,IF($A2193="",N(K2192),IF(ISNUMBER(SEARCH(Search!$B$3,$A2193&amp;"")),N(K2192)+1,N(K2192))))</f>
        <v>0</v>
      </c>
    </row>
    <row r="2194" customFormat="false" ht="15" hidden="false" customHeight="false" outlineLevel="0" collapsed="false">
      <c r="K2194" s="24" t="n">
        <f aca="false">IF(Search!$B$3="",0,IF($A2194="",N(K2193),IF(ISNUMBER(SEARCH(Search!$B$3,$A2194&amp;"")),N(K2193)+1,N(K2193))))</f>
        <v>0</v>
      </c>
    </row>
    <row r="2195" customFormat="false" ht="15" hidden="false" customHeight="false" outlineLevel="0" collapsed="false">
      <c r="K2195" s="24" t="n">
        <f aca="false">IF(Search!$B$3="",0,IF($A2195="",N(K2194),IF(ISNUMBER(SEARCH(Search!$B$3,$A2195&amp;"")),N(K2194)+1,N(K2194))))</f>
        <v>0</v>
      </c>
    </row>
    <row r="2196" customFormat="false" ht="15" hidden="false" customHeight="false" outlineLevel="0" collapsed="false">
      <c r="K2196" s="24" t="n">
        <f aca="false">IF(Search!$B$3="",0,IF($A2196="",N(K2195),IF(ISNUMBER(SEARCH(Search!$B$3,$A2196&amp;"")),N(K2195)+1,N(K2195))))</f>
        <v>0</v>
      </c>
    </row>
    <row r="2197" customFormat="false" ht="15" hidden="false" customHeight="false" outlineLevel="0" collapsed="false">
      <c r="K2197" s="24" t="n">
        <f aca="false">IF(Search!$B$3="",0,IF($A2197="",N(K2196),IF(ISNUMBER(SEARCH(Search!$B$3,$A2197&amp;"")),N(K2196)+1,N(K2196))))</f>
        <v>0</v>
      </c>
    </row>
    <row r="2198" customFormat="false" ht="15" hidden="false" customHeight="false" outlineLevel="0" collapsed="false">
      <c r="K2198" s="24" t="n">
        <f aca="false">IF(Search!$B$3="",0,IF($A2198="",N(K2197),IF(ISNUMBER(SEARCH(Search!$B$3,$A2198&amp;"")),N(K2197)+1,N(K2197))))</f>
        <v>0</v>
      </c>
    </row>
    <row r="2199" customFormat="false" ht="15" hidden="false" customHeight="false" outlineLevel="0" collapsed="false">
      <c r="K2199" s="24" t="n">
        <f aca="false">IF(Search!$B$3="",0,IF($A2199="",N(K2198),IF(ISNUMBER(SEARCH(Search!$B$3,$A2199&amp;"")),N(K2198)+1,N(K2198))))</f>
        <v>0</v>
      </c>
    </row>
    <row r="2200" customFormat="false" ht="15" hidden="false" customHeight="false" outlineLevel="0" collapsed="false">
      <c r="K2200" s="24" t="n">
        <f aca="false">IF(Search!$B$3="",0,IF($A2200="",N(K2199),IF(ISNUMBER(SEARCH(Search!$B$3,$A2200&amp;"")),N(K2199)+1,N(K2199))))</f>
        <v>0</v>
      </c>
    </row>
    <row r="2201" customFormat="false" ht="15" hidden="false" customHeight="false" outlineLevel="0" collapsed="false">
      <c r="K2201" s="24" t="n">
        <f aca="false">IF(Search!$B$3="",0,IF($A2201="",N(K2200),IF(ISNUMBER(SEARCH(Search!$B$3,$A2201&amp;"")),N(K2200)+1,N(K2200))))</f>
        <v>0</v>
      </c>
    </row>
    <row r="2202" customFormat="false" ht="15" hidden="false" customHeight="false" outlineLevel="0" collapsed="false">
      <c r="K2202" s="24" t="n">
        <f aca="false">IF(Search!$B$3="",0,IF($A2202="",N(K2201),IF(ISNUMBER(SEARCH(Search!$B$3,$A2202&amp;"")),N(K2201)+1,N(K2201))))</f>
        <v>0</v>
      </c>
    </row>
    <row r="2203" customFormat="false" ht="15" hidden="false" customHeight="false" outlineLevel="0" collapsed="false">
      <c r="K2203" s="24" t="n">
        <f aca="false">IF(Search!$B$3="",0,IF($A2203="",N(K2202),IF(ISNUMBER(SEARCH(Search!$B$3,$A2203&amp;"")),N(K2202)+1,N(K2202))))</f>
        <v>0</v>
      </c>
    </row>
    <row r="2204" customFormat="false" ht="15" hidden="false" customHeight="false" outlineLevel="0" collapsed="false">
      <c r="K2204" s="24" t="n">
        <f aca="false">IF(Search!$B$3="",0,IF($A2204="",N(K2203),IF(ISNUMBER(SEARCH(Search!$B$3,$A2204&amp;"")),N(K2203)+1,N(K2203))))</f>
        <v>0</v>
      </c>
    </row>
    <row r="2205" customFormat="false" ht="15" hidden="false" customHeight="false" outlineLevel="0" collapsed="false">
      <c r="K2205" s="24" t="n">
        <f aca="false">IF(Search!$B$3="",0,IF($A2205="",N(K2204),IF(ISNUMBER(SEARCH(Search!$B$3,$A2205&amp;"")),N(K2204)+1,N(K2204))))</f>
        <v>0</v>
      </c>
    </row>
    <row r="2206" customFormat="false" ht="15" hidden="false" customHeight="false" outlineLevel="0" collapsed="false">
      <c r="K2206" s="24" t="n">
        <f aca="false">IF(Search!$B$3="",0,IF($A2206="",N(K2205),IF(ISNUMBER(SEARCH(Search!$B$3,$A2206&amp;"")),N(K2205)+1,N(K2205))))</f>
        <v>0</v>
      </c>
    </row>
    <row r="2207" customFormat="false" ht="15" hidden="false" customHeight="false" outlineLevel="0" collapsed="false">
      <c r="K2207" s="24" t="n">
        <f aca="false">IF(Search!$B$3="",0,IF($A2207="",N(K2206),IF(ISNUMBER(SEARCH(Search!$B$3,$A2207&amp;"")),N(K2206)+1,N(K2206))))</f>
        <v>0</v>
      </c>
    </row>
    <row r="2208" customFormat="false" ht="15" hidden="false" customHeight="false" outlineLevel="0" collapsed="false">
      <c r="K2208" s="24" t="n">
        <f aca="false">IF(Search!$B$3="",0,IF($A2208="",N(K2207),IF(ISNUMBER(SEARCH(Search!$B$3,$A2208&amp;"")),N(K2207)+1,N(K2207))))</f>
        <v>0</v>
      </c>
    </row>
    <row r="2209" customFormat="false" ht="15" hidden="false" customHeight="false" outlineLevel="0" collapsed="false">
      <c r="K2209" s="24" t="n">
        <f aca="false">IF(Search!$B$3="",0,IF($A2209="",N(K2208),IF(ISNUMBER(SEARCH(Search!$B$3,$A2209&amp;"")),N(K2208)+1,N(K2208))))</f>
        <v>0</v>
      </c>
    </row>
    <row r="2210" customFormat="false" ht="15" hidden="false" customHeight="false" outlineLevel="0" collapsed="false">
      <c r="K2210" s="24" t="n">
        <f aca="false">IF(Search!$B$3="",0,IF($A2210="",N(K2209),IF(ISNUMBER(SEARCH(Search!$B$3,$A2210&amp;"")),N(K2209)+1,N(K2209))))</f>
        <v>0</v>
      </c>
    </row>
    <row r="2211" customFormat="false" ht="15" hidden="false" customHeight="false" outlineLevel="0" collapsed="false">
      <c r="K2211" s="24" t="n">
        <f aca="false">IF(Search!$B$3="",0,IF($A2211="",N(K2210),IF(ISNUMBER(SEARCH(Search!$B$3,$A2211&amp;"")),N(K2210)+1,N(K2210))))</f>
        <v>0</v>
      </c>
    </row>
    <row r="2212" customFormat="false" ht="15" hidden="false" customHeight="false" outlineLevel="0" collapsed="false">
      <c r="K2212" s="24" t="n">
        <f aca="false">IF(Search!$B$3="",0,IF($A2212="",N(K2211),IF(ISNUMBER(SEARCH(Search!$B$3,$A2212&amp;"")),N(K2211)+1,N(K2211))))</f>
        <v>0</v>
      </c>
    </row>
    <row r="2213" customFormat="false" ht="15" hidden="false" customHeight="false" outlineLevel="0" collapsed="false">
      <c r="K2213" s="24" t="n">
        <f aca="false">IF(Search!$B$3="",0,IF($A2213="",N(K2212),IF(ISNUMBER(SEARCH(Search!$B$3,$A2213&amp;"")),N(K2212)+1,N(K2212))))</f>
        <v>0</v>
      </c>
    </row>
    <row r="2214" customFormat="false" ht="15" hidden="false" customHeight="false" outlineLevel="0" collapsed="false">
      <c r="K2214" s="24" t="n">
        <f aca="false">IF(Search!$B$3="",0,IF($A2214="",N(K2213),IF(ISNUMBER(SEARCH(Search!$B$3,$A2214&amp;"")),N(K2213)+1,N(K2213))))</f>
        <v>0</v>
      </c>
    </row>
    <row r="2215" customFormat="false" ht="15" hidden="false" customHeight="false" outlineLevel="0" collapsed="false">
      <c r="K2215" s="24" t="n">
        <f aca="false">IF(Search!$B$3="",0,IF($A2215="",N(K2214),IF(ISNUMBER(SEARCH(Search!$B$3,$A2215&amp;"")),N(K2214)+1,N(K2214))))</f>
        <v>0</v>
      </c>
    </row>
    <row r="2216" customFormat="false" ht="15" hidden="false" customHeight="false" outlineLevel="0" collapsed="false">
      <c r="K2216" s="24" t="n">
        <f aca="false">IF(Search!$B$3="",0,IF($A2216="",N(K2215),IF(ISNUMBER(SEARCH(Search!$B$3,$A2216&amp;"")),N(K2215)+1,N(K2215))))</f>
        <v>0</v>
      </c>
    </row>
    <row r="2217" customFormat="false" ht="15" hidden="false" customHeight="false" outlineLevel="0" collapsed="false">
      <c r="K2217" s="24" t="n">
        <f aca="false">IF(Search!$B$3="",0,IF($A2217="",N(K2216),IF(ISNUMBER(SEARCH(Search!$B$3,$A2217&amp;"")),N(K2216)+1,N(K2216))))</f>
        <v>0</v>
      </c>
    </row>
    <row r="2218" customFormat="false" ht="15" hidden="false" customHeight="false" outlineLevel="0" collapsed="false">
      <c r="K2218" s="24" t="n">
        <f aca="false">IF(Search!$B$3="",0,IF($A2218="",N(K2217),IF(ISNUMBER(SEARCH(Search!$B$3,$A2218&amp;"")),N(K2217)+1,N(K2217))))</f>
        <v>0</v>
      </c>
    </row>
    <row r="2219" customFormat="false" ht="15" hidden="false" customHeight="false" outlineLevel="0" collapsed="false">
      <c r="K2219" s="24" t="n">
        <f aca="false">IF(Search!$B$3="",0,IF($A2219="",N(K2218),IF(ISNUMBER(SEARCH(Search!$B$3,$A2219&amp;"")),N(K2218)+1,N(K2218))))</f>
        <v>0</v>
      </c>
    </row>
    <row r="2220" customFormat="false" ht="15" hidden="false" customHeight="false" outlineLevel="0" collapsed="false">
      <c r="K2220" s="24" t="n">
        <f aca="false">IF(Search!$B$3="",0,IF($A2220="",N(K2219),IF(ISNUMBER(SEARCH(Search!$B$3,$A2220&amp;"")),N(K2219)+1,N(K2219))))</f>
        <v>0</v>
      </c>
    </row>
    <row r="2221" customFormat="false" ht="15" hidden="false" customHeight="false" outlineLevel="0" collapsed="false">
      <c r="K2221" s="24" t="n">
        <f aca="false">IF(Search!$B$3="",0,IF($A2221="",N(K2220),IF(ISNUMBER(SEARCH(Search!$B$3,$A2221&amp;"")),N(K2220)+1,N(K2220))))</f>
        <v>0</v>
      </c>
    </row>
    <row r="2222" customFormat="false" ht="15" hidden="false" customHeight="false" outlineLevel="0" collapsed="false">
      <c r="K2222" s="24" t="n">
        <f aca="false">IF(Search!$B$3="",0,IF($A2222="",N(K2221),IF(ISNUMBER(SEARCH(Search!$B$3,$A2222&amp;"")),N(K2221)+1,N(K2221))))</f>
        <v>0</v>
      </c>
    </row>
    <row r="2223" customFormat="false" ht="15" hidden="false" customHeight="false" outlineLevel="0" collapsed="false">
      <c r="K2223" s="24" t="n">
        <f aca="false">IF(Search!$B$3="",0,IF($A2223="",N(K2222),IF(ISNUMBER(SEARCH(Search!$B$3,$A2223&amp;"")),N(K2222)+1,N(K2222))))</f>
        <v>0</v>
      </c>
    </row>
    <row r="2224" customFormat="false" ht="15" hidden="false" customHeight="false" outlineLevel="0" collapsed="false">
      <c r="K2224" s="24" t="n">
        <f aca="false">IF(Search!$B$3="",0,IF($A2224="",N(K2223),IF(ISNUMBER(SEARCH(Search!$B$3,$A2224&amp;"")),N(K2223)+1,N(K2223))))</f>
        <v>0</v>
      </c>
    </row>
    <row r="2225" customFormat="false" ht="15" hidden="false" customHeight="false" outlineLevel="0" collapsed="false">
      <c r="K2225" s="24" t="n">
        <f aca="false">IF(Search!$B$3="",0,IF($A2225="",N(K2224),IF(ISNUMBER(SEARCH(Search!$B$3,$A2225&amp;"")),N(K2224)+1,N(K2224))))</f>
        <v>0</v>
      </c>
    </row>
    <row r="2226" customFormat="false" ht="15" hidden="false" customHeight="false" outlineLevel="0" collapsed="false">
      <c r="K2226" s="24" t="n">
        <f aca="false">IF(Search!$B$3="",0,IF($A2226="",N(K2225),IF(ISNUMBER(SEARCH(Search!$B$3,$A2226&amp;"")),N(K2225)+1,N(K2225))))</f>
        <v>0</v>
      </c>
    </row>
    <row r="2227" customFormat="false" ht="15" hidden="false" customHeight="false" outlineLevel="0" collapsed="false">
      <c r="K2227" s="24" t="n">
        <f aca="false">IF(Search!$B$3="",0,IF($A2227="",N(K2226),IF(ISNUMBER(SEARCH(Search!$B$3,$A2227&amp;"")),N(K2226)+1,N(K2226))))</f>
        <v>0</v>
      </c>
    </row>
    <row r="2228" customFormat="false" ht="15" hidden="false" customHeight="false" outlineLevel="0" collapsed="false">
      <c r="K2228" s="24" t="n">
        <f aca="false">IF(Search!$B$3="",0,IF($A2228="",N(K2227),IF(ISNUMBER(SEARCH(Search!$B$3,$A2228&amp;"")),N(K2227)+1,N(K2227))))</f>
        <v>0</v>
      </c>
    </row>
    <row r="2229" customFormat="false" ht="15" hidden="false" customHeight="false" outlineLevel="0" collapsed="false">
      <c r="K2229" s="24" t="n">
        <f aca="false">IF(Search!$B$3="",0,IF($A2229="",N(K2228),IF(ISNUMBER(SEARCH(Search!$B$3,$A2229&amp;"")),N(K2228)+1,N(K2228))))</f>
        <v>0</v>
      </c>
    </row>
    <row r="2230" customFormat="false" ht="15" hidden="false" customHeight="false" outlineLevel="0" collapsed="false">
      <c r="K2230" s="24" t="n">
        <f aca="false">IF(Search!$B$3="",0,IF($A2230="",N(K2229),IF(ISNUMBER(SEARCH(Search!$B$3,$A2230&amp;"")),N(K2229)+1,N(K2229))))</f>
        <v>0</v>
      </c>
    </row>
    <row r="2231" customFormat="false" ht="15" hidden="false" customHeight="false" outlineLevel="0" collapsed="false">
      <c r="K2231" s="24" t="n">
        <f aca="false">IF(Search!$B$3="",0,IF($A2231="",N(K2230),IF(ISNUMBER(SEARCH(Search!$B$3,$A2231&amp;"")),N(K2230)+1,N(K2230))))</f>
        <v>0</v>
      </c>
    </row>
    <row r="2232" customFormat="false" ht="15" hidden="false" customHeight="false" outlineLevel="0" collapsed="false">
      <c r="K2232" s="24" t="n">
        <f aca="false">IF(Search!$B$3="",0,IF($A2232="",N(K2231),IF(ISNUMBER(SEARCH(Search!$B$3,$A2232&amp;"")),N(K2231)+1,N(K2231))))</f>
        <v>0</v>
      </c>
    </row>
    <row r="2233" customFormat="false" ht="15" hidden="false" customHeight="false" outlineLevel="0" collapsed="false">
      <c r="K2233" s="24" t="n">
        <f aca="false">IF(Search!$B$3="",0,IF($A2233="",N(K2232),IF(ISNUMBER(SEARCH(Search!$B$3,$A2233&amp;"")),N(K2232)+1,N(K2232))))</f>
        <v>0</v>
      </c>
    </row>
    <row r="2234" customFormat="false" ht="15" hidden="false" customHeight="false" outlineLevel="0" collapsed="false">
      <c r="K2234" s="24" t="n">
        <f aca="false">IF(Search!$B$3="",0,IF($A2234="",N(K2233),IF(ISNUMBER(SEARCH(Search!$B$3,$A2234&amp;"")),N(K2233)+1,N(K2233))))</f>
        <v>0</v>
      </c>
    </row>
    <row r="2235" customFormat="false" ht="15" hidden="false" customHeight="false" outlineLevel="0" collapsed="false">
      <c r="K2235" s="24" t="n">
        <f aca="false">IF(Search!$B$3="",0,IF($A2235="",N(K2234),IF(ISNUMBER(SEARCH(Search!$B$3,$A2235&amp;"")),N(K2234)+1,N(K2234))))</f>
        <v>0</v>
      </c>
    </row>
    <row r="2236" customFormat="false" ht="15" hidden="false" customHeight="false" outlineLevel="0" collapsed="false">
      <c r="K2236" s="24" t="n">
        <f aca="false">IF(Search!$B$3="",0,IF($A2236="",N(K2235),IF(ISNUMBER(SEARCH(Search!$B$3,$A2236&amp;"")),N(K2235)+1,N(K2235))))</f>
        <v>0</v>
      </c>
    </row>
    <row r="2237" customFormat="false" ht="15" hidden="false" customHeight="false" outlineLevel="0" collapsed="false">
      <c r="K2237" s="24" t="n">
        <f aca="false">IF(Search!$B$3="",0,IF($A2237="",N(K2236),IF(ISNUMBER(SEARCH(Search!$B$3,$A2237&amp;"")),N(K2236)+1,N(K2236))))</f>
        <v>0</v>
      </c>
    </row>
    <row r="2238" customFormat="false" ht="15" hidden="false" customHeight="false" outlineLevel="0" collapsed="false">
      <c r="K2238" s="24" t="n">
        <f aca="false">IF(Search!$B$3="",0,IF($A2238="",N(K2237),IF(ISNUMBER(SEARCH(Search!$B$3,$A2238&amp;"")),N(K2237)+1,N(K2237))))</f>
        <v>0</v>
      </c>
    </row>
    <row r="2239" customFormat="false" ht="15" hidden="false" customHeight="false" outlineLevel="0" collapsed="false">
      <c r="K2239" s="24" t="n">
        <f aca="false">IF(Search!$B$3="",0,IF($A2239="",N(K2238),IF(ISNUMBER(SEARCH(Search!$B$3,$A2239&amp;"")),N(K2238)+1,N(K2238))))</f>
        <v>0</v>
      </c>
    </row>
    <row r="2240" customFormat="false" ht="15" hidden="false" customHeight="false" outlineLevel="0" collapsed="false">
      <c r="K2240" s="24" t="n">
        <f aca="false">IF(Search!$B$3="",0,IF($A2240="",N(K2239),IF(ISNUMBER(SEARCH(Search!$B$3,$A2240&amp;"")),N(K2239)+1,N(K2239))))</f>
        <v>0</v>
      </c>
    </row>
    <row r="2241" customFormat="false" ht="15" hidden="false" customHeight="false" outlineLevel="0" collapsed="false">
      <c r="K2241" s="24" t="n">
        <f aca="false">IF(Search!$B$3="",0,IF($A2241="",N(K2240),IF(ISNUMBER(SEARCH(Search!$B$3,$A2241&amp;"")),N(K2240)+1,N(K2240))))</f>
        <v>0</v>
      </c>
    </row>
    <row r="2242" customFormat="false" ht="15" hidden="false" customHeight="false" outlineLevel="0" collapsed="false">
      <c r="K2242" s="24" t="n">
        <f aca="false">IF(Search!$B$3="",0,IF($A2242="",N(K2241),IF(ISNUMBER(SEARCH(Search!$B$3,$A2242&amp;"")),N(K2241)+1,N(K2241))))</f>
        <v>0</v>
      </c>
    </row>
    <row r="2243" customFormat="false" ht="15" hidden="false" customHeight="false" outlineLevel="0" collapsed="false">
      <c r="K2243" s="24" t="n">
        <f aca="false">IF(Search!$B$3="",0,IF($A2243="",N(K2242),IF(ISNUMBER(SEARCH(Search!$B$3,$A2243&amp;"")),N(K2242)+1,N(K2242))))</f>
        <v>0</v>
      </c>
    </row>
    <row r="2244" customFormat="false" ht="15" hidden="false" customHeight="false" outlineLevel="0" collapsed="false">
      <c r="K2244" s="24" t="n">
        <f aca="false">IF(Search!$B$3="",0,IF($A2244="",N(K2243),IF(ISNUMBER(SEARCH(Search!$B$3,$A2244&amp;"")),N(K2243)+1,N(K2243))))</f>
        <v>0</v>
      </c>
    </row>
    <row r="2245" customFormat="false" ht="15" hidden="false" customHeight="false" outlineLevel="0" collapsed="false">
      <c r="K2245" s="24" t="n">
        <f aca="false">IF(Search!$B$3="",0,IF($A2245="",N(K2244),IF(ISNUMBER(SEARCH(Search!$B$3,$A2245&amp;"")),N(K2244)+1,N(K2244))))</f>
        <v>0</v>
      </c>
    </row>
    <row r="2246" customFormat="false" ht="15" hidden="false" customHeight="false" outlineLevel="0" collapsed="false">
      <c r="K2246" s="24" t="n">
        <f aca="false">IF(Search!$B$3="",0,IF($A2246="",N(K2245),IF(ISNUMBER(SEARCH(Search!$B$3,$A2246&amp;"")),N(K2245)+1,N(K2245))))</f>
        <v>0</v>
      </c>
    </row>
    <row r="2247" customFormat="false" ht="15" hidden="false" customHeight="false" outlineLevel="0" collapsed="false">
      <c r="K2247" s="24" t="n">
        <f aca="false">IF(Search!$B$3="",0,IF($A2247="",N(K2246),IF(ISNUMBER(SEARCH(Search!$B$3,$A2247&amp;"")),N(K2246)+1,N(K2246))))</f>
        <v>0</v>
      </c>
    </row>
    <row r="2248" customFormat="false" ht="15" hidden="false" customHeight="false" outlineLevel="0" collapsed="false">
      <c r="K2248" s="24" t="n">
        <f aca="false">IF(Search!$B$3="",0,IF($A2248="",N(K2247),IF(ISNUMBER(SEARCH(Search!$B$3,$A2248&amp;"")),N(K2247)+1,N(K2247))))</f>
        <v>0</v>
      </c>
    </row>
    <row r="2249" customFormat="false" ht="15" hidden="false" customHeight="false" outlineLevel="0" collapsed="false">
      <c r="K2249" s="24" t="n">
        <f aca="false">IF(Search!$B$3="",0,IF($A2249="",N(K2248),IF(ISNUMBER(SEARCH(Search!$B$3,$A2249&amp;"")),N(K2248)+1,N(K2248))))</f>
        <v>0</v>
      </c>
    </row>
    <row r="2250" customFormat="false" ht="15" hidden="false" customHeight="false" outlineLevel="0" collapsed="false">
      <c r="K2250" s="24" t="n">
        <f aca="false">IF(Search!$B$3="",0,IF($A2250="",N(K2249),IF(ISNUMBER(SEARCH(Search!$B$3,$A2250&amp;"")),N(K2249)+1,N(K2249))))</f>
        <v>0</v>
      </c>
    </row>
    <row r="2251" customFormat="false" ht="15" hidden="false" customHeight="false" outlineLevel="0" collapsed="false">
      <c r="K2251" s="24" t="n">
        <f aca="false">IF(Search!$B$3="",0,IF($A2251="",N(K2250),IF(ISNUMBER(SEARCH(Search!$B$3,$A2251&amp;"")),N(K2250)+1,N(K2250))))</f>
        <v>0</v>
      </c>
    </row>
    <row r="2252" customFormat="false" ht="15" hidden="false" customHeight="false" outlineLevel="0" collapsed="false">
      <c r="K2252" s="24" t="n">
        <f aca="false">IF(Search!$B$3="",0,IF($A2252="",N(K2251),IF(ISNUMBER(SEARCH(Search!$B$3,$A2252&amp;"")),N(K2251)+1,N(K2251))))</f>
        <v>0</v>
      </c>
    </row>
    <row r="2253" customFormat="false" ht="15" hidden="false" customHeight="false" outlineLevel="0" collapsed="false">
      <c r="K2253" s="24" t="n">
        <f aca="false">IF(Search!$B$3="",0,IF($A2253="",N(K2252),IF(ISNUMBER(SEARCH(Search!$B$3,$A2253&amp;"")),N(K2252)+1,N(K2252))))</f>
        <v>0</v>
      </c>
    </row>
    <row r="2254" customFormat="false" ht="15" hidden="false" customHeight="false" outlineLevel="0" collapsed="false">
      <c r="K2254" s="24" t="n">
        <f aca="false">IF(Search!$B$3="",0,IF($A2254="",N(K2253),IF(ISNUMBER(SEARCH(Search!$B$3,$A2254&amp;"")),N(K2253)+1,N(K2253))))</f>
        <v>0</v>
      </c>
    </row>
    <row r="2255" customFormat="false" ht="15" hidden="false" customHeight="false" outlineLevel="0" collapsed="false">
      <c r="K2255" s="24" t="n">
        <f aca="false">IF(Search!$B$3="",0,IF($A2255="",N(K2254),IF(ISNUMBER(SEARCH(Search!$B$3,$A2255&amp;"")),N(K2254)+1,N(K2254))))</f>
        <v>0</v>
      </c>
    </row>
    <row r="2256" customFormat="false" ht="15" hidden="false" customHeight="false" outlineLevel="0" collapsed="false">
      <c r="K2256" s="24" t="n">
        <f aca="false">IF(Search!$B$3="",0,IF($A2256="",N(K2255),IF(ISNUMBER(SEARCH(Search!$B$3,$A2256&amp;"")),N(K2255)+1,N(K2255))))</f>
        <v>0</v>
      </c>
    </row>
    <row r="2257" customFormat="false" ht="15" hidden="false" customHeight="false" outlineLevel="0" collapsed="false">
      <c r="K2257" s="24" t="n">
        <f aca="false">IF(Search!$B$3="",0,IF($A2257="",N(K2256),IF(ISNUMBER(SEARCH(Search!$B$3,$A2257&amp;"")),N(K2256)+1,N(K2256))))</f>
        <v>0</v>
      </c>
    </row>
    <row r="2258" customFormat="false" ht="15" hidden="false" customHeight="false" outlineLevel="0" collapsed="false">
      <c r="K2258" s="24" t="n">
        <f aca="false">IF(Search!$B$3="",0,IF($A2258="",N(K2257),IF(ISNUMBER(SEARCH(Search!$B$3,$A2258&amp;"")),N(K2257)+1,N(K2257))))</f>
        <v>0</v>
      </c>
    </row>
    <row r="2259" customFormat="false" ht="15" hidden="false" customHeight="false" outlineLevel="0" collapsed="false">
      <c r="K2259" s="24" t="n">
        <f aca="false">IF(Search!$B$3="",0,IF($A2259="",N(K2258),IF(ISNUMBER(SEARCH(Search!$B$3,$A2259&amp;"")),N(K2258)+1,N(K2258))))</f>
        <v>0</v>
      </c>
    </row>
    <row r="2260" customFormat="false" ht="15" hidden="false" customHeight="false" outlineLevel="0" collapsed="false">
      <c r="K2260" s="24" t="n">
        <f aca="false">IF(Search!$B$3="",0,IF($A2260="",N(K2259),IF(ISNUMBER(SEARCH(Search!$B$3,$A2260&amp;"")),N(K2259)+1,N(K2259))))</f>
        <v>0</v>
      </c>
    </row>
    <row r="2261" customFormat="false" ht="15" hidden="false" customHeight="false" outlineLevel="0" collapsed="false">
      <c r="K2261" s="24" t="n">
        <f aca="false">IF(Search!$B$3="",0,IF($A2261="",N(K2260),IF(ISNUMBER(SEARCH(Search!$B$3,$A2261&amp;"")),N(K2260)+1,N(K2260))))</f>
        <v>0</v>
      </c>
    </row>
    <row r="2262" customFormat="false" ht="15" hidden="false" customHeight="false" outlineLevel="0" collapsed="false">
      <c r="K2262" s="24" t="n">
        <f aca="false">IF(Search!$B$3="",0,IF($A2262="",N(K2261),IF(ISNUMBER(SEARCH(Search!$B$3,$A2262&amp;"")),N(K2261)+1,N(K2261))))</f>
        <v>0</v>
      </c>
    </row>
    <row r="2263" customFormat="false" ht="15" hidden="false" customHeight="false" outlineLevel="0" collapsed="false">
      <c r="K2263" s="24" t="n">
        <f aca="false">IF(Search!$B$3="",0,IF($A2263="",N(K2262),IF(ISNUMBER(SEARCH(Search!$B$3,$A2263&amp;"")),N(K2262)+1,N(K2262))))</f>
        <v>0</v>
      </c>
    </row>
    <row r="2264" customFormat="false" ht="15" hidden="false" customHeight="false" outlineLevel="0" collapsed="false">
      <c r="K2264" s="24" t="n">
        <f aca="false">IF(Search!$B$3="",0,IF($A2264="",N(K2263),IF(ISNUMBER(SEARCH(Search!$B$3,$A2264&amp;"")),N(K2263)+1,N(K2263))))</f>
        <v>0</v>
      </c>
    </row>
    <row r="2265" customFormat="false" ht="15" hidden="false" customHeight="false" outlineLevel="0" collapsed="false">
      <c r="K2265" s="24" t="n">
        <f aca="false">IF(Search!$B$3="",0,IF($A2265="",N(K2264),IF(ISNUMBER(SEARCH(Search!$B$3,$A2265&amp;"")),N(K2264)+1,N(K2264))))</f>
        <v>0</v>
      </c>
    </row>
    <row r="2266" customFormat="false" ht="15" hidden="false" customHeight="false" outlineLevel="0" collapsed="false">
      <c r="K2266" s="24" t="n">
        <f aca="false">IF(Search!$B$3="",0,IF($A2266="",N(K2265),IF(ISNUMBER(SEARCH(Search!$B$3,$A2266&amp;"")),N(K2265)+1,N(K2265))))</f>
        <v>0</v>
      </c>
    </row>
    <row r="2267" customFormat="false" ht="15" hidden="false" customHeight="false" outlineLevel="0" collapsed="false">
      <c r="K2267" s="24" t="n">
        <f aca="false">IF(Search!$B$3="",0,IF($A2267="",N(K2266),IF(ISNUMBER(SEARCH(Search!$B$3,$A2267&amp;"")),N(K2266)+1,N(K2266))))</f>
        <v>0</v>
      </c>
    </row>
    <row r="2268" customFormat="false" ht="15" hidden="false" customHeight="false" outlineLevel="0" collapsed="false">
      <c r="K2268" s="24" t="n">
        <f aca="false">IF(Search!$B$3="",0,IF($A2268="",N(K2267),IF(ISNUMBER(SEARCH(Search!$B$3,$A2268&amp;"")),N(K2267)+1,N(K2267))))</f>
        <v>0</v>
      </c>
    </row>
    <row r="2269" customFormat="false" ht="15" hidden="false" customHeight="false" outlineLevel="0" collapsed="false">
      <c r="K2269" s="24" t="n">
        <f aca="false">IF(Search!$B$3="",0,IF($A2269="",N(K2268),IF(ISNUMBER(SEARCH(Search!$B$3,$A2269&amp;"")),N(K2268)+1,N(K2268))))</f>
        <v>0</v>
      </c>
    </row>
    <row r="2270" customFormat="false" ht="15" hidden="false" customHeight="false" outlineLevel="0" collapsed="false">
      <c r="K2270" s="24" t="n">
        <f aca="false">IF(Search!$B$3="",0,IF($A2270="",N(K2269),IF(ISNUMBER(SEARCH(Search!$B$3,$A2270&amp;"")),N(K2269)+1,N(K2269))))</f>
        <v>0</v>
      </c>
    </row>
    <row r="2271" customFormat="false" ht="15" hidden="false" customHeight="false" outlineLevel="0" collapsed="false">
      <c r="K2271" s="24" t="n">
        <f aca="false">IF(Search!$B$3="",0,IF($A2271="",N(K2270),IF(ISNUMBER(SEARCH(Search!$B$3,$A2271&amp;"")),N(K2270)+1,N(K2270))))</f>
        <v>0</v>
      </c>
    </row>
    <row r="2272" customFormat="false" ht="15" hidden="false" customHeight="false" outlineLevel="0" collapsed="false">
      <c r="K2272" s="24" t="n">
        <f aca="false">IF(Search!$B$3="",0,IF($A2272="",N(K2271),IF(ISNUMBER(SEARCH(Search!$B$3,$A2272&amp;"")),N(K2271)+1,N(K2271))))</f>
        <v>0</v>
      </c>
    </row>
    <row r="2273" customFormat="false" ht="15" hidden="false" customHeight="false" outlineLevel="0" collapsed="false">
      <c r="K2273" s="24" t="n">
        <f aca="false">IF(Search!$B$3="",0,IF($A2273="",N(K2272),IF(ISNUMBER(SEARCH(Search!$B$3,$A2273&amp;"")),N(K2272)+1,N(K2272))))</f>
        <v>0</v>
      </c>
    </row>
    <row r="2274" customFormat="false" ht="15" hidden="false" customHeight="false" outlineLevel="0" collapsed="false">
      <c r="K2274" s="24" t="n">
        <f aca="false">IF(Search!$B$3="",0,IF($A2274="",N(K2273),IF(ISNUMBER(SEARCH(Search!$B$3,$A2274&amp;"")),N(K2273)+1,N(K2273))))</f>
        <v>0</v>
      </c>
    </row>
    <row r="2275" customFormat="false" ht="15" hidden="false" customHeight="false" outlineLevel="0" collapsed="false">
      <c r="K2275" s="24" t="n">
        <f aca="false">IF(Search!$B$3="",0,IF($A2275="",N(K2274),IF(ISNUMBER(SEARCH(Search!$B$3,$A2275&amp;"")),N(K2274)+1,N(K2274))))</f>
        <v>0</v>
      </c>
    </row>
    <row r="2276" customFormat="false" ht="15" hidden="false" customHeight="false" outlineLevel="0" collapsed="false">
      <c r="K2276" s="24" t="n">
        <f aca="false">IF(Search!$B$3="",0,IF($A2276="",N(K2275),IF(ISNUMBER(SEARCH(Search!$B$3,$A2276&amp;"")),N(K2275)+1,N(K2275))))</f>
        <v>0</v>
      </c>
    </row>
    <row r="2277" customFormat="false" ht="15" hidden="false" customHeight="false" outlineLevel="0" collapsed="false">
      <c r="K2277" s="24" t="n">
        <f aca="false">IF(Search!$B$3="",0,IF($A2277="",N(K2276),IF(ISNUMBER(SEARCH(Search!$B$3,$A2277&amp;"")),N(K2276)+1,N(K2276))))</f>
        <v>0</v>
      </c>
    </row>
    <row r="2278" customFormat="false" ht="15" hidden="false" customHeight="false" outlineLevel="0" collapsed="false">
      <c r="K2278" s="24" t="n">
        <f aca="false">IF(Search!$B$3="",0,IF($A2278="",N(K2277),IF(ISNUMBER(SEARCH(Search!$B$3,$A2278&amp;"")),N(K2277)+1,N(K2277))))</f>
        <v>0</v>
      </c>
    </row>
    <row r="2279" customFormat="false" ht="15" hidden="false" customHeight="false" outlineLevel="0" collapsed="false">
      <c r="K2279" s="24" t="n">
        <f aca="false">IF(Search!$B$3="",0,IF($A2279="",N(K2278),IF(ISNUMBER(SEARCH(Search!$B$3,$A2279&amp;"")),N(K2278)+1,N(K2278))))</f>
        <v>0</v>
      </c>
    </row>
    <row r="2280" customFormat="false" ht="15" hidden="false" customHeight="false" outlineLevel="0" collapsed="false">
      <c r="K2280" s="24" t="n">
        <f aca="false">IF(Search!$B$3="",0,IF($A2280="",N(K2279),IF(ISNUMBER(SEARCH(Search!$B$3,$A2280&amp;"")),N(K2279)+1,N(K2279))))</f>
        <v>0</v>
      </c>
    </row>
    <row r="2281" customFormat="false" ht="15" hidden="false" customHeight="false" outlineLevel="0" collapsed="false">
      <c r="K2281" s="24" t="n">
        <f aca="false">IF(Search!$B$3="",0,IF($A2281="",N(K2280),IF(ISNUMBER(SEARCH(Search!$B$3,$A2281&amp;"")),N(K2280)+1,N(K2280))))</f>
        <v>0</v>
      </c>
    </row>
    <row r="2282" customFormat="false" ht="15" hidden="false" customHeight="false" outlineLevel="0" collapsed="false">
      <c r="K2282" s="24" t="n">
        <f aca="false">IF(Search!$B$3="",0,IF($A2282="",N(K2281),IF(ISNUMBER(SEARCH(Search!$B$3,$A2282&amp;"")),N(K2281)+1,N(K2281))))</f>
        <v>0</v>
      </c>
    </row>
    <row r="2283" customFormat="false" ht="15" hidden="false" customHeight="false" outlineLevel="0" collapsed="false">
      <c r="K2283" s="24" t="n">
        <f aca="false">IF(Search!$B$3="",0,IF($A2283="",N(K2282),IF(ISNUMBER(SEARCH(Search!$B$3,$A2283&amp;"")),N(K2282)+1,N(K2282))))</f>
        <v>0</v>
      </c>
    </row>
    <row r="2284" customFormat="false" ht="15" hidden="false" customHeight="false" outlineLevel="0" collapsed="false">
      <c r="K2284" s="24" t="n">
        <f aca="false">IF(Search!$B$3="",0,IF($A2284="",N(K2283),IF(ISNUMBER(SEARCH(Search!$B$3,$A2284&amp;"")),N(K2283)+1,N(K2283))))</f>
        <v>0</v>
      </c>
    </row>
    <row r="2285" customFormat="false" ht="15" hidden="false" customHeight="false" outlineLevel="0" collapsed="false">
      <c r="K2285" s="24" t="n">
        <f aca="false">IF(Search!$B$3="",0,IF($A2285="",N(K2284),IF(ISNUMBER(SEARCH(Search!$B$3,$A2285&amp;"")),N(K2284)+1,N(K2284))))</f>
        <v>0</v>
      </c>
    </row>
    <row r="2286" customFormat="false" ht="15" hidden="false" customHeight="false" outlineLevel="0" collapsed="false">
      <c r="K2286" s="24" t="n">
        <f aca="false">IF(Search!$B$3="",0,IF($A2286="",N(K2285),IF(ISNUMBER(SEARCH(Search!$B$3,$A2286&amp;"")),N(K2285)+1,N(K2285))))</f>
        <v>0</v>
      </c>
    </row>
    <row r="2287" customFormat="false" ht="15" hidden="false" customHeight="false" outlineLevel="0" collapsed="false">
      <c r="K2287" s="24" t="n">
        <f aca="false">IF(Search!$B$3="",0,IF($A2287="",N(K2286),IF(ISNUMBER(SEARCH(Search!$B$3,$A2287&amp;"")),N(K2286)+1,N(K2286))))</f>
        <v>0</v>
      </c>
    </row>
    <row r="2288" customFormat="false" ht="15" hidden="false" customHeight="false" outlineLevel="0" collapsed="false">
      <c r="K2288" s="24" t="n">
        <f aca="false">IF(Search!$B$3="",0,IF($A2288="",N(K2287),IF(ISNUMBER(SEARCH(Search!$B$3,$A2288&amp;"")),N(K2287)+1,N(K2287))))</f>
        <v>0</v>
      </c>
    </row>
    <row r="2289" customFormat="false" ht="15" hidden="false" customHeight="false" outlineLevel="0" collapsed="false">
      <c r="K2289" s="24" t="n">
        <f aca="false">IF(Search!$B$3="",0,IF($A2289="",N(K2288),IF(ISNUMBER(SEARCH(Search!$B$3,$A2289&amp;"")),N(K2288)+1,N(K2288))))</f>
        <v>0</v>
      </c>
    </row>
    <row r="2290" customFormat="false" ht="15" hidden="false" customHeight="false" outlineLevel="0" collapsed="false">
      <c r="K2290" s="24" t="n">
        <f aca="false">IF(Search!$B$3="",0,IF($A2290="",N(K2289),IF(ISNUMBER(SEARCH(Search!$B$3,$A2290&amp;"")),N(K2289)+1,N(K2289))))</f>
        <v>0</v>
      </c>
    </row>
    <row r="2291" customFormat="false" ht="15" hidden="false" customHeight="false" outlineLevel="0" collapsed="false">
      <c r="K2291" s="24" t="n">
        <f aca="false">IF(Search!$B$3="",0,IF($A2291="",N(K2290),IF(ISNUMBER(SEARCH(Search!$B$3,$A2291&amp;"")),N(K2290)+1,N(K2290))))</f>
        <v>0</v>
      </c>
    </row>
    <row r="2292" customFormat="false" ht="15" hidden="false" customHeight="false" outlineLevel="0" collapsed="false">
      <c r="K2292" s="24" t="n">
        <f aca="false">IF(Search!$B$3="",0,IF($A2292="",N(K2291),IF(ISNUMBER(SEARCH(Search!$B$3,$A2292&amp;"")),N(K2291)+1,N(K2291))))</f>
        <v>0</v>
      </c>
    </row>
    <row r="2293" customFormat="false" ht="15" hidden="false" customHeight="false" outlineLevel="0" collapsed="false">
      <c r="K2293" s="24" t="n">
        <f aca="false">IF(Search!$B$3="",0,IF($A2293="",N(K2292),IF(ISNUMBER(SEARCH(Search!$B$3,$A2293&amp;"")),N(K2292)+1,N(K2292))))</f>
        <v>0</v>
      </c>
    </row>
    <row r="2294" customFormat="false" ht="15" hidden="false" customHeight="false" outlineLevel="0" collapsed="false">
      <c r="K2294" s="24" t="n">
        <f aca="false">IF(Search!$B$3="",0,IF($A2294="",N(K2293),IF(ISNUMBER(SEARCH(Search!$B$3,$A2294&amp;"")),N(K2293)+1,N(K2293))))</f>
        <v>0</v>
      </c>
    </row>
    <row r="2295" customFormat="false" ht="15" hidden="false" customHeight="false" outlineLevel="0" collapsed="false">
      <c r="K2295" s="24" t="n">
        <f aca="false">IF(Search!$B$3="",0,IF($A2295="",N(K2294),IF(ISNUMBER(SEARCH(Search!$B$3,$A2295&amp;"")),N(K2294)+1,N(K2294))))</f>
        <v>0</v>
      </c>
    </row>
    <row r="2296" customFormat="false" ht="15" hidden="false" customHeight="false" outlineLevel="0" collapsed="false">
      <c r="K2296" s="24" t="n">
        <f aca="false">IF(Search!$B$3="",0,IF($A2296="",N(K2295),IF(ISNUMBER(SEARCH(Search!$B$3,$A2296&amp;"")),N(K2295)+1,N(K2295))))</f>
        <v>0</v>
      </c>
    </row>
    <row r="2297" customFormat="false" ht="15" hidden="false" customHeight="false" outlineLevel="0" collapsed="false">
      <c r="K2297" s="24" t="n">
        <f aca="false">IF(Search!$B$3="",0,IF($A2297="",N(K2296),IF(ISNUMBER(SEARCH(Search!$B$3,$A2297&amp;"")),N(K2296)+1,N(K2296))))</f>
        <v>0</v>
      </c>
    </row>
    <row r="2298" customFormat="false" ht="15" hidden="false" customHeight="false" outlineLevel="0" collapsed="false">
      <c r="K2298" s="24" t="n">
        <f aca="false">IF(Search!$B$3="",0,IF($A2298="",N(K2297),IF(ISNUMBER(SEARCH(Search!$B$3,$A2298&amp;"")),N(K2297)+1,N(K2297))))</f>
        <v>0</v>
      </c>
    </row>
    <row r="2299" customFormat="false" ht="15" hidden="false" customHeight="false" outlineLevel="0" collapsed="false">
      <c r="K2299" s="24" t="n">
        <f aca="false">IF(Search!$B$3="",0,IF($A2299="",N(K2298),IF(ISNUMBER(SEARCH(Search!$B$3,$A2299&amp;"")),N(K2298)+1,N(K2298))))</f>
        <v>0</v>
      </c>
    </row>
    <row r="2300" customFormat="false" ht="15" hidden="false" customHeight="false" outlineLevel="0" collapsed="false">
      <c r="K2300" s="24" t="n">
        <f aca="false">IF(Search!$B$3="",0,IF($A2300="",N(K2299),IF(ISNUMBER(SEARCH(Search!$B$3,$A2300&amp;"")),N(K2299)+1,N(K2299))))</f>
        <v>0</v>
      </c>
    </row>
    <row r="2301" customFormat="false" ht="15" hidden="false" customHeight="false" outlineLevel="0" collapsed="false">
      <c r="K2301" s="24" t="n">
        <f aca="false">IF(Search!$B$3="",0,IF($A2301="",N(K2300),IF(ISNUMBER(SEARCH(Search!$B$3,$A2301&amp;"")),N(K2300)+1,N(K2300))))</f>
        <v>0</v>
      </c>
    </row>
    <row r="2302" customFormat="false" ht="15" hidden="false" customHeight="false" outlineLevel="0" collapsed="false">
      <c r="K2302" s="24" t="n">
        <f aca="false">IF(Search!$B$3="",0,IF($A2302="",N(K2301),IF(ISNUMBER(SEARCH(Search!$B$3,$A2302&amp;"")),N(K2301)+1,N(K2301))))</f>
        <v>0</v>
      </c>
    </row>
    <row r="2303" customFormat="false" ht="15" hidden="false" customHeight="false" outlineLevel="0" collapsed="false">
      <c r="K2303" s="24" t="n">
        <f aca="false">IF(Search!$B$3="",0,IF($A2303="",N(K2302),IF(ISNUMBER(SEARCH(Search!$B$3,$A2303&amp;"")),N(K2302)+1,N(K2302))))</f>
        <v>0</v>
      </c>
    </row>
    <row r="2304" customFormat="false" ht="15" hidden="false" customHeight="false" outlineLevel="0" collapsed="false">
      <c r="K2304" s="24" t="n">
        <f aca="false">IF(Search!$B$3="",0,IF($A2304="",N(K2303),IF(ISNUMBER(SEARCH(Search!$B$3,$A2304&amp;"")),N(K2303)+1,N(K2303))))</f>
        <v>0</v>
      </c>
    </row>
    <row r="2305" customFormat="false" ht="15" hidden="false" customHeight="false" outlineLevel="0" collapsed="false">
      <c r="K2305" s="24" t="n">
        <f aca="false">IF(Search!$B$3="",0,IF($A2305="",N(K2304),IF(ISNUMBER(SEARCH(Search!$B$3,$A2305&amp;"")),N(K2304)+1,N(K2304))))</f>
        <v>0</v>
      </c>
    </row>
    <row r="2306" customFormat="false" ht="15" hidden="false" customHeight="false" outlineLevel="0" collapsed="false">
      <c r="K2306" s="24" t="n">
        <f aca="false">IF(Search!$B$3="",0,IF($A2306="",N(K2305),IF(ISNUMBER(SEARCH(Search!$B$3,$A2306&amp;"")),N(K2305)+1,N(K2305))))</f>
        <v>0</v>
      </c>
    </row>
    <row r="2307" customFormat="false" ht="15" hidden="false" customHeight="false" outlineLevel="0" collapsed="false">
      <c r="K2307" s="24" t="n">
        <f aca="false">IF(Search!$B$3="",0,IF($A2307="",N(K2306),IF(ISNUMBER(SEARCH(Search!$B$3,$A2307&amp;"")),N(K2306)+1,N(K2306))))</f>
        <v>0</v>
      </c>
    </row>
    <row r="2308" customFormat="false" ht="15" hidden="false" customHeight="false" outlineLevel="0" collapsed="false">
      <c r="K2308" s="24" t="n">
        <f aca="false">IF(Search!$B$3="",0,IF($A2308="",N(K2307),IF(ISNUMBER(SEARCH(Search!$B$3,$A2308&amp;"")),N(K2307)+1,N(K2307))))</f>
        <v>0</v>
      </c>
    </row>
    <row r="2309" customFormat="false" ht="15" hidden="false" customHeight="false" outlineLevel="0" collapsed="false">
      <c r="K2309" s="24" t="n">
        <f aca="false">IF(Search!$B$3="",0,IF($A2309="",N(K2308),IF(ISNUMBER(SEARCH(Search!$B$3,$A2309&amp;"")),N(K2308)+1,N(K2308))))</f>
        <v>0</v>
      </c>
    </row>
    <row r="2310" customFormat="false" ht="15" hidden="false" customHeight="false" outlineLevel="0" collapsed="false">
      <c r="K2310" s="24" t="n">
        <f aca="false">IF(Search!$B$3="",0,IF($A2310="",N(K2309),IF(ISNUMBER(SEARCH(Search!$B$3,$A2310&amp;"")),N(K2309)+1,N(K2309))))</f>
        <v>0</v>
      </c>
    </row>
    <row r="2311" customFormat="false" ht="15" hidden="false" customHeight="false" outlineLevel="0" collapsed="false">
      <c r="K2311" s="24" t="n">
        <f aca="false">IF(Search!$B$3="",0,IF($A2311="",N(K2310),IF(ISNUMBER(SEARCH(Search!$B$3,$A2311&amp;"")),N(K2310)+1,N(K2310))))</f>
        <v>0</v>
      </c>
    </row>
    <row r="2312" customFormat="false" ht="15" hidden="false" customHeight="false" outlineLevel="0" collapsed="false">
      <c r="K2312" s="24" t="n">
        <f aca="false">IF(Search!$B$3="",0,IF($A2312="",N(K2311),IF(ISNUMBER(SEARCH(Search!$B$3,$A2312&amp;"")),N(K2311)+1,N(K2311))))</f>
        <v>0</v>
      </c>
    </row>
    <row r="2313" customFormat="false" ht="15" hidden="false" customHeight="false" outlineLevel="0" collapsed="false">
      <c r="K2313" s="24" t="n">
        <f aca="false">IF(Search!$B$3="",0,IF($A2313="",N(K2312),IF(ISNUMBER(SEARCH(Search!$B$3,$A2313&amp;"")),N(K2312)+1,N(K2312))))</f>
        <v>0</v>
      </c>
    </row>
    <row r="2314" customFormat="false" ht="15" hidden="false" customHeight="false" outlineLevel="0" collapsed="false">
      <c r="K2314" s="24" t="n">
        <f aca="false">IF(Search!$B$3="",0,IF($A2314="",N(K2313),IF(ISNUMBER(SEARCH(Search!$B$3,$A2314&amp;"")),N(K2313)+1,N(K2313))))</f>
        <v>0</v>
      </c>
    </row>
    <row r="2315" customFormat="false" ht="15" hidden="false" customHeight="false" outlineLevel="0" collapsed="false">
      <c r="K2315" s="24" t="n">
        <f aca="false">IF(Search!$B$3="",0,IF($A2315="",N(K2314),IF(ISNUMBER(SEARCH(Search!$B$3,$A2315&amp;"")),N(K2314)+1,N(K2314))))</f>
        <v>0</v>
      </c>
    </row>
    <row r="2316" customFormat="false" ht="15" hidden="false" customHeight="false" outlineLevel="0" collapsed="false">
      <c r="K2316" s="24" t="n">
        <f aca="false">IF(Search!$B$3="",0,IF($A2316="",N(K2315),IF(ISNUMBER(SEARCH(Search!$B$3,$A2316&amp;"")),N(K2315)+1,N(K2315))))</f>
        <v>0</v>
      </c>
    </row>
    <row r="2317" customFormat="false" ht="15" hidden="false" customHeight="false" outlineLevel="0" collapsed="false">
      <c r="K2317" s="24" t="n">
        <f aca="false">IF(Search!$B$3="",0,IF($A2317="",N(K2316),IF(ISNUMBER(SEARCH(Search!$B$3,$A2317&amp;"")),N(K2316)+1,N(K2316))))</f>
        <v>0</v>
      </c>
    </row>
    <row r="2318" customFormat="false" ht="15" hidden="false" customHeight="false" outlineLevel="0" collapsed="false">
      <c r="K2318" s="24" t="n">
        <f aca="false">IF(Search!$B$3="",0,IF($A2318="",N(K2317),IF(ISNUMBER(SEARCH(Search!$B$3,$A2318&amp;"")),N(K2317)+1,N(K2317))))</f>
        <v>0</v>
      </c>
    </row>
    <row r="2319" customFormat="false" ht="15" hidden="false" customHeight="false" outlineLevel="0" collapsed="false">
      <c r="K2319" s="24" t="n">
        <f aca="false">IF(Search!$B$3="",0,IF($A2319="",N(K2318),IF(ISNUMBER(SEARCH(Search!$B$3,$A2319&amp;"")),N(K2318)+1,N(K2318))))</f>
        <v>0</v>
      </c>
    </row>
    <row r="2320" customFormat="false" ht="15" hidden="false" customHeight="false" outlineLevel="0" collapsed="false">
      <c r="K2320" s="24" t="n">
        <f aca="false">IF(Search!$B$3="",0,IF($A2320="",N(K2319),IF(ISNUMBER(SEARCH(Search!$B$3,$A2320&amp;"")),N(K2319)+1,N(K2319))))</f>
        <v>0</v>
      </c>
    </row>
    <row r="2321" customFormat="false" ht="15" hidden="false" customHeight="false" outlineLevel="0" collapsed="false">
      <c r="K2321" s="24" t="n">
        <f aca="false">IF(Search!$B$3="",0,IF($A2321="",N(K2320),IF(ISNUMBER(SEARCH(Search!$B$3,$A2321&amp;"")),N(K2320)+1,N(K2320))))</f>
        <v>0</v>
      </c>
    </row>
    <row r="2322" customFormat="false" ht="15" hidden="false" customHeight="false" outlineLevel="0" collapsed="false">
      <c r="K2322" s="24" t="n">
        <f aca="false">IF(Search!$B$3="",0,IF($A2322="",N(K2321),IF(ISNUMBER(SEARCH(Search!$B$3,$A2322&amp;"")),N(K2321)+1,N(K2321))))</f>
        <v>0</v>
      </c>
    </row>
    <row r="2323" customFormat="false" ht="15" hidden="false" customHeight="false" outlineLevel="0" collapsed="false">
      <c r="K2323" s="24" t="n">
        <f aca="false">IF(Search!$B$3="",0,IF($A2323="",N(K2322),IF(ISNUMBER(SEARCH(Search!$B$3,$A2323&amp;"")),N(K2322)+1,N(K2322))))</f>
        <v>0</v>
      </c>
    </row>
    <row r="2324" customFormat="false" ht="15" hidden="false" customHeight="false" outlineLevel="0" collapsed="false">
      <c r="K2324" s="24" t="n">
        <f aca="false">IF(Search!$B$3="",0,IF($A2324="",N(K2323),IF(ISNUMBER(SEARCH(Search!$B$3,$A2324&amp;"")),N(K2323)+1,N(K2323))))</f>
        <v>0</v>
      </c>
    </row>
    <row r="2325" customFormat="false" ht="15" hidden="false" customHeight="false" outlineLevel="0" collapsed="false">
      <c r="K2325" s="24" t="n">
        <f aca="false">IF(Search!$B$3="",0,IF($A2325="",N(K2324),IF(ISNUMBER(SEARCH(Search!$B$3,$A2325&amp;"")),N(K2324)+1,N(K2324))))</f>
        <v>0</v>
      </c>
    </row>
    <row r="2326" customFormat="false" ht="15" hidden="false" customHeight="false" outlineLevel="0" collapsed="false">
      <c r="K2326" s="24" t="n">
        <f aca="false">IF(Search!$B$3="",0,IF($A2326="",N(K2325),IF(ISNUMBER(SEARCH(Search!$B$3,$A2326&amp;"")),N(K2325)+1,N(K2325))))</f>
        <v>0</v>
      </c>
    </row>
    <row r="2327" customFormat="false" ht="15" hidden="false" customHeight="false" outlineLevel="0" collapsed="false">
      <c r="K2327" s="24" t="n">
        <f aca="false">IF(Search!$B$3="",0,IF($A2327="",N(K2326),IF(ISNUMBER(SEARCH(Search!$B$3,$A2327&amp;"")),N(K2326)+1,N(K2326))))</f>
        <v>0</v>
      </c>
    </row>
    <row r="2328" customFormat="false" ht="15" hidden="false" customHeight="false" outlineLevel="0" collapsed="false">
      <c r="K2328" s="24" t="n">
        <f aca="false">IF(Search!$B$3="",0,IF($A2328="",N(K2327),IF(ISNUMBER(SEARCH(Search!$B$3,$A2328&amp;"")),N(K2327)+1,N(K2327))))</f>
        <v>0</v>
      </c>
    </row>
    <row r="2329" customFormat="false" ht="15" hidden="false" customHeight="false" outlineLevel="0" collapsed="false">
      <c r="K2329" s="24" t="n">
        <f aca="false">IF(Search!$B$3="",0,IF($A2329="",N(K2328),IF(ISNUMBER(SEARCH(Search!$B$3,$A2329&amp;"")),N(K2328)+1,N(K2328))))</f>
        <v>0</v>
      </c>
    </row>
    <row r="2330" customFormat="false" ht="15" hidden="false" customHeight="false" outlineLevel="0" collapsed="false">
      <c r="K2330" s="24" t="n">
        <f aca="false">IF(Search!$B$3="",0,IF($A2330="",N(K2329),IF(ISNUMBER(SEARCH(Search!$B$3,$A2330&amp;"")),N(K2329)+1,N(K2329))))</f>
        <v>0</v>
      </c>
    </row>
    <row r="2331" customFormat="false" ht="15" hidden="false" customHeight="false" outlineLevel="0" collapsed="false">
      <c r="K2331" s="24" t="n">
        <f aca="false">IF(Search!$B$3="",0,IF($A2331="",N(K2330),IF(ISNUMBER(SEARCH(Search!$B$3,$A2331&amp;"")),N(K2330)+1,N(K2330))))</f>
        <v>0</v>
      </c>
    </row>
    <row r="2332" customFormat="false" ht="15" hidden="false" customHeight="false" outlineLevel="0" collapsed="false">
      <c r="K2332" s="24" t="n">
        <f aca="false">IF(Search!$B$3="",0,IF($A2332="",N(K2331),IF(ISNUMBER(SEARCH(Search!$B$3,$A2332&amp;"")),N(K2331)+1,N(K2331))))</f>
        <v>0</v>
      </c>
    </row>
    <row r="2333" customFormat="false" ht="15" hidden="false" customHeight="false" outlineLevel="0" collapsed="false">
      <c r="K2333" s="24" t="n">
        <f aca="false">IF(Search!$B$3="",0,IF($A2333="",N(K2332),IF(ISNUMBER(SEARCH(Search!$B$3,$A2333&amp;"")),N(K2332)+1,N(K2332))))</f>
        <v>0</v>
      </c>
    </row>
    <row r="2334" customFormat="false" ht="15" hidden="false" customHeight="false" outlineLevel="0" collapsed="false">
      <c r="K2334" s="24" t="n">
        <f aca="false">IF(Search!$B$3="",0,IF($A2334="",N(K2333),IF(ISNUMBER(SEARCH(Search!$B$3,$A2334&amp;"")),N(K2333)+1,N(K2333))))</f>
        <v>0</v>
      </c>
    </row>
    <row r="2335" customFormat="false" ht="15" hidden="false" customHeight="false" outlineLevel="0" collapsed="false">
      <c r="K2335" s="24" t="n">
        <f aca="false">IF(Search!$B$3="",0,IF($A2335="",N(K2334),IF(ISNUMBER(SEARCH(Search!$B$3,$A2335&amp;"")),N(K2334)+1,N(K2334))))</f>
        <v>0</v>
      </c>
    </row>
    <row r="2336" customFormat="false" ht="15" hidden="false" customHeight="false" outlineLevel="0" collapsed="false">
      <c r="K2336" s="24" t="n">
        <f aca="false">IF(Search!$B$3="",0,IF($A2336="",N(K2335),IF(ISNUMBER(SEARCH(Search!$B$3,$A2336&amp;"")),N(K2335)+1,N(K2335))))</f>
        <v>0</v>
      </c>
    </row>
    <row r="2337" customFormat="false" ht="15" hidden="false" customHeight="false" outlineLevel="0" collapsed="false">
      <c r="K2337" s="24" t="n">
        <f aca="false">IF(Search!$B$3="",0,IF($A2337="",N(K2336),IF(ISNUMBER(SEARCH(Search!$B$3,$A2337&amp;"")),N(K2336)+1,N(K2336))))</f>
        <v>0</v>
      </c>
    </row>
    <row r="2338" customFormat="false" ht="15" hidden="false" customHeight="false" outlineLevel="0" collapsed="false">
      <c r="K2338" s="24" t="n">
        <f aca="false">IF(Search!$B$3="",0,IF($A2338="",N(K2337),IF(ISNUMBER(SEARCH(Search!$B$3,$A2338&amp;"")),N(K2337)+1,N(K2337))))</f>
        <v>0</v>
      </c>
    </row>
    <row r="2339" customFormat="false" ht="15" hidden="false" customHeight="false" outlineLevel="0" collapsed="false">
      <c r="K2339" s="24" t="n">
        <f aca="false">IF(Search!$B$3="",0,IF($A2339="",N(K2338),IF(ISNUMBER(SEARCH(Search!$B$3,$A2339&amp;"")),N(K2338)+1,N(K2338))))</f>
        <v>0</v>
      </c>
    </row>
    <row r="2340" customFormat="false" ht="15" hidden="false" customHeight="false" outlineLevel="0" collapsed="false">
      <c r="K2340" s="24" t="n">
        <f aca="false">IF(Search!$B$3="",0,IF($A2340="",N(K2339),IF(ISNUMBER(SEARCH(Search!$B$3,$A2340&amp;"")),N(K2339)+1,N(K2339))))</f>
        <v>0</v>
      </c>
    </row>
    <row r="2341" customFormat="false" ht="15" hidden="false" customHeight="false" outlineLevel="0" collapsed="false">
      <c r="K2341" s="24" t="n">
        <f aca="false">IF(Search!$B$3="",0,IF($A2341="",N(K2340),IF(ISNUMBER(SEARCH(Search!$B$3,$A2341&amp;"")),N(K2340)+1,N(K2340))))</f>
        <v>0</v>
      </c>
    </row>
    <row r="2342" customFormat="false" ht="15" hidden="false" customHeight="false" outlineLevel="0" collapsed="false">
      <c r="K2342" s="24" t="n">
        <f aca="false">IF(Search!$B$3="",0,IF($A2342="",N(K2341),IF(ISNUMBER(SEARCH(Search!$B$3,$A2342&amp;"")),N(K2341)+1,N(K2341))))</f>
        <v>0</v>
      </c>
    </row>
    <row r="2343" customFormat="false" ht="15" hidden="false" customHeight="false" outlineLevel="0" collapsed="false">
      <c r="K2343" s="24" t="n">
        <f aca="false">IF(Search!$B$3="",0,IF($A2343="",N(K2342),IF(ISNUMBER(SEARCH(Search!$B$3,$A2343&amp;"")),N(K2342)+1,N(K2342))))</f>
        <v>0</v>
      </c>
    </row>
    <row r="2344" customFormat="false" ht="15" hidden="false" customHeight="false" outlineLevel="0" collapsed="false">
      <c r="K2344" s="24" t="n">
        <f aca="false">IF(Search!$B$3="",0,IF($A2344="",N(K2343),IF(ISNUMBER(SEARCH(Search!$B$3,$A2344&amp;"")),N(K2343)+1,N(K2343))))</f>
        <v>0</v>
      </c>
    </row>
    <row r="2345" customFormat="false" ht="15" hidden="false" customHeight="false" outlineLevel="0" collapsed="false">
      <c r="K2345" s="24" t="n">
        <f aca="false">IF(Search!$B$3="",0,IF($A2345="",N(K2344),IF(ISNUMBER(SEARCH(Search!$B$3,$A2345&amp;"")),N(K2344)+1,N(K2344))))</f>
        <v>0</v>
      </c>
    </row>
    <row r="2346" customFormat="false" ht="15" hidden="false" customHeight="false" outlineLevel="0" collapsed="false">
      <c r="K2346" s="24" t="n">
        <f aca="false">IF(Search!$B$3="",0,IF($A2346="",N(K2345),IF(ISNUMBER(SEARCH(Search!$B$3,$A2346&amp;"")),N(K2345)+1,N(K2345))))</f>
        <v>0</v>
      </c>
    </row>
    <row r="2347" customFormat="false" ht="15" hidden="false" customHeight="false" outlineLevel="0" collapsed="false">
      <c r="K2347" s="24" t="n">
        <f aca="false">IF(Search!$B$3="",0,IF($A2347="",N(K2346),IF(ISNUMBER(SEARCH(Search!$B$3,$A2347&amp;"")),N(K2346)+1,N(K2346))))</f>
        <v>0</v>
      </c>
    </row>
    <row r="2348" customFormat="false" ht="15" hidden="false" customHeight="false" outlineLevel="0" collapsed="false">
      <c r="K2348" s="24" t="n">
        <f aca="false">IF(Search!$B$3="",0,IF($A2348="",N(K2347),IF(ISNUMBER(SEARCH(Search!$B$3,$A2348&amp;"")),N(K2347)+1,N(K2347))))</f>
        <v>0</v>
      </c>
    </row>
    <row r="2349" customFormat="false" ht="15" hidden="false" customHeight="false" outlineLevel="0" collapsed="false">
      <c r="K2349" s="24" t="n">
        <f aca="false">IF(Search!$B$3="",0,IF($A2349="",N(K2348),IF(ISNUMBER(SEARCH(Search!$B$3,$A2349&amp;"")),N(K2348)+1,N(K2348))))</f>
        <v>0</v>
      </c>
    </row>
    <row r="2350" customFormat="false" ht="15" hidden="false" customHeight="false" outlineLevel="0" collapsed="false">
      <c r="K2350" s="24" t="n">
        <f aca="false">IF(Search!$B$3="",0,IF($A2350="",N(K2349),IF(ISNUMBER(SEARCH(Search!$B$3,$A2350&amp;"")),N(K2349)+1,N(K2349))))</f>
        <v>0</v>
      </c>
    </row>
    <row r="2351" customFormat="false" ht="15" hidden="false" customHeight="false" outlineLevel="0" collapsed="false">
      <c r="K2351" s="24" t="n">
        <f aca="false">IF(Search!$B$3="",0,IF($A2351="",N(K2350),IF(ISNUMBER(SEARCH(Search!$B$3,$A2351&amp;"")),N(K2350)+1,N(K2350))))</f>
        <v>0</v>
      </c>
    </row>
    <row r="2352" customFormat="false" ht="15" hidden="false" customHeight="false" outlineLevel="0" collapsed="false">
      <c r="K2352" s="24" t="n">
        <f aca="false">IF(Search!$B$3="",0,IF($A2352="",N(K2351),IF(ISNUMBER(SEARCH(Search!$B$3,$A2352&amp;"")),N(K2351)+1,N(K2351))))</f>
        <v>0</v>
      </c>
    </row>
    <row r="2353" customFormat="false" ht="15" hidden="false" customHeight="false" outlineLevel="0" collapsed="false">
      <c r="K2353" s="24" t="n">
        <f aca="false">IF(Search!$B$3="",0,IF($A2353="",N(K2352),IF(ISNUMBER(SEARCH(Search!$B$3,$A2353&amp;"")),N(K2352)+1,N(K2352))))</f>
        <v>0</v>
      </c>
    </row>
    <row r="2354" customFormat="false" ht="15" hidden="false" customHeight="false" outlineLevel="0" collapsed="false">
      <c r="K2354" s="24" t="n">
        <f aca="false">IF(Search!$B$3="",0,IF($A2354="",N(K2353),IF(ISNUMBER(SEARCH(Search!$B$3,$A2354&amp;"")),N(K2353)+1,N(K2353))))</f>
        <v>0</v>
      </c>
    </row>
    <row r="2355" customFormat="false" ht="15" hidden="false" customHeight="false" outlineLevel="0" collapsed="false">
      <c r="K2355" s="24" t="n">
        <f aca="false">IF(Search!$B$3="",0,IF($A2355="",N(K2354),IF(ISNUMBER(SEARCH(Search!$B$3,$A2355&amp;"")),N(K2354)+1,N(K2354))))</f>
        <v>0</v>
      </c>
    </row>
    <row r="2356" customFormat="false" ht="15" hidden="false" customHeight="false" outlineLevel="0" collapsed="false">
      <c r="K2356" s="24" t="n">
        <f aca="false">IF(Search!$B$3="",0,IF($A2356="",N(K2355),IF(ISNUMBER(SEARCH(Search!$B$3,$A2356&amp;"")),N(K2355)+1,N(K2355))))</f>
        <v>0</v>
      </c>
    </row>
    <row r="2357" customFormat="false" ht="15" hidden="false" customHeight="false" outlineLevel="0" collapsed="false">
      <c r="K2357" s="24" t="n">
        <f aca="false">IF(Search!$B$3="",0,IF($A2357="",N(K2356),IF(ISNUMBER(SEARCH(Search!$B$3,$A2357&amp;"")),N(K2356)+1,N(K2356))))</f>
        <v>0</v>
      </c>
    </row>
    <row r="2358" customFormat="false" ht="15" hidden="false" customHeight="false" outlineLevel="0" collapsed="false">
      <c r="K2358" s="24" t="n">
        <f aca="false">IF(Search!$B$3="",0,IF($A2358="",N(K2357),IF(ISNUMBER(SEARCH(Search!$B$3,$A2358&amp;"")),N(K2357)+1,N(K2357))))</f>
        <v>0</v>
      </c>
    </row>
    <row r="2359" customFormat="false" ht="15" hidden="false" customHeight="false" outlineLevel="0" collapsed="false">
      <c r="K2359" s="24" t="n">
        <f aca="false">IF(Search!$B$3="",0,IF($A2359="",N(K2358),IF(ISNUMBER(SEARCH(Search!$B$3,$A2359&amp;"")),N(K2358)+1,N(K2358))))</f>
        <v>0</v>
      </c>
    </row>
    <row r="2360" customFormat="false" ht="15" hidden="false" customHeight="false" outlineLevel="0" collapsed="false">
      <c r="K2360" s="24" t="n">
        <f aca="false">IF(Search!$B$3="",0,IF($A2360="",N(K2359),IF(ISNUMBER(SEARCH(Search!$B$3,$A2360&amp;"")),N(K2359)+1,N(K2359))))</f>
        <v>0</v>
      </c>
    </row>
    <row r="2361" customFormat="false" ht="15" hidden="false" customHeight="false" outlineLevel="0" collapsed="false">
      <c r="K2361" s="24" t="n">
        <f aca="false">IF(Search!$B$3="",0,IF($A2361="",N(K2360),IF(ISNUMBER(SEARCH(Search!$B$3,$A2361&amp;"")),N(K2360)+1,N(K2360))))</f>
        <v>0</v>
      </c>
    </row>
    <row r="2362" customFormat="false" ht="15" hidden="false" customHeight="false" outlineLevel="0" collapsed="false">
      <c r="K2362" s="24" t="n">
        <f aca="false">IF(Search!$B$3="",0,IF($A2362="",N(K2361),IF(ISNUMBER(SEARCH(Search!$B$3,$A2362&amp;"")),N(K2361)+1,N(K2361))))</f>
        <v>0</v>
      </c>
    </row>
    <row r="2363" customFormat="false" ht="15" hidden="false" customHeight="false" outlineLevel="0" collapsed="false">
      <c r="K2363" s="24" t="n">
        <f aca="false">IF(Search!$B$3="",0,IF($A2363="",N(K2362),IF(ISNUMBER(SEARCH(Search!$B$3,$A2363&amp;"")),N(K2362)+1,N(K2362))))</f>
        <v>0</v>
      </c>
    </row>
    <row r="2364" customFormat="false" ht="15" hidden="false" customHeight="false" outlineLevel="0" collapsed="false">
      <c r="K2364" s="24" t="n">
        <f aca="false">IF(Search!$B$3="",0,IF($A2364="",N(K2363),IF(ISNUMBER(SEARCH(Search!$B$3,$A2364&amp;"")),N(K2363)+1,N(K2363))))</f>
        <v>0</v>
      </c>
    </row>
    <row r="2365" customFormat="false" ht="15" hidden="false" customHeight="false" outlineLevel="0" collapsed="false">
      <c r="K2365" s="24" t="n">
        <f aca="false">IF(Search!$B$3="",0,IF($A2365="",N(K2364),IF(ISNUMBER(SEARCH(Search!$B$3,$A2365&amp;"")),N(K2364)+1,N(K2364))))</f>
        <v>0</v>
      </c>
    </row>
    <row r="2366" customFormat="false" ht="15" hidden="false" customHeight="false" outlineLevel="0" collapsed="false">
      <c r="K2366" s="24" t="n">
        <f aca="false">IF(Search!$B$3="",0,IF($A2366="",N(K2365),IF(ISNUMBER(SEARCH(Search!$B$3,$A2366&amp;"")),N(K2365)+1,N(K2365))))</f>
        <v>0</v>
      </c>
    </row>
    <row r="2367" customFormat="false" ht="15" hidden="false" customHeight="false" outlineLevel="0" collapsed="false">
      <c r="K2367" s="24" t="n">
        <f aca="false">IF(Search!$B$3="",0,IF($A2367="",N(K2366),IF(ISNUMBER(SEARCH(Search!$B$3,$A2367&amp;"")),N(K2366)+1,N(K2366))))</f>
        <v>0</v>
      </c>
    </row>
    <row r="2368" customFormat="false" ht="15" hidden="false" customHeight="false" outlineLevel="0" collapsed="false">
      <c r="K2368" s="24" t="n">
        <f aca="false">IF(Search!$B$3="",0,IF($A2368="",N(K2367),IF(ISNUMBER(SEARCH(Search!$B$3,$A2368&amp;"")),N(K2367)+1,N(K2367))))</f>
        <v>0</v>
      </c>
    </row>
    <row r="2369" customFormat="false" ht="15" hidden="false" customHeight="false" outlineLevel="0" collapsed="false">
      <c r="K2369" s="24" t="n">
        <f aca="false">IF(Search!$B$3="",0,IF($A2369="",N(K2368),IF(ISNUMBER(SEARCH(Search!$B$3,$A2369&amp;"")),N(K2368)+1,N(K2368))))</f>
        <v>0</v>
      </c>
    </row>
    <row r="2370" customFormat="false" ht="15" hidden="false" customHeight="false" outlineLevel="0" collapsed="false">
      <c r="K2370" s="24" t="n">
        <f aca="false">IF(Search!$B$3="",0,IF($A2370="",N(K2369),IF(ISNUMBER(SEARCH(Search!$B$3,$A2370&amp;"")),N(K2369)+1,N(K2369))))</f>
        <v>0</v>
      </c>
    </row>
    <row r="2371" customFormat="false" ht="15" hidden="false" customHeight="false" outlineLevel="0" collapsed="false">
      <c r="K2371" s="24" t="n">
        <f aca="false">IF(Search!$B$3="",0,IF($A2371="",N(K2370),IF(ISNUMBER(SEARCH(Search!$B$3,$A2371&amp;"")),N(K2370)+1,N(K2370))))</f>
        <v>0</v>
      </c>
    </row>
    <row r="2372" customFormat="false" ht="15" hidden="false" customHeight="false" outlineLevel="0" collapsed="false">
      <c r="K2372" s="24" t="n">
        <f aca="false">IF(Search!$B$3="",0,IF($A2372="",N(K2371),IF(ISNUMBER(SEARCH(Search!$B$3,$A2372&amp;"")),N(K2371)+1,N(K2371))))</f>
        <v>0</v>
      </c>
    </row>
    <row r="2373" customFormat="false" ht="15" hidden="false" customHeight="false" outlineLevel="0" collapsed="false">
      <c r="K2373" s="24" t="n">
        <f aca="false">IF(Search!$B$3="",0,IF($A2373="",N(K2372),IF(ISNUMBER(SEARCH(Search!$B$3,$A2373&amp;"")),N(K2372)+1,N(K2372))))</f>
        <v>0</v>
      </c>
    </row>
    <row r="2374" customFormat="false" ht="15" hidden="false" customHeight="false" outlineLevel="0" collapsed="false">
      <c r="K2374" s="24" t="n">
        <f aca="false">IF(Search!$B$3="",0,IF($A2374="",N(K2373),IF(ISNUMBER(SEARCH(Search!$B$3,$A2374&amp;"")),N(K2373)+1,N(K2373))))</f>
        <v>0</v>
      </c>
    </row>
    <row r="2375" customFormat="false" ht="15" hidden="false" customHeight="false" outlineLevel="0" collapsed="false">
      <c r="K2375" s="24" t="n">
        <f aca="false">IF(Search!$B$3="",0,IF($A2375="",N(K2374),IF(ISNUMBER(SEARCH(Search!$B$3,$A2375&amp;"")),N(K2374)+1,N(K2374))))</f>
        <v>0</v>
      </c>
    </row>
    <row r="2376" customFormat="false" ht="15" hidden="false" customHeight="false" outlineLevel="0" collapsed="false">
      <c r="K2376" s="24" t="n">
        <f aca="false">IF(Search!$B$3="",0,IF($A2376="",N(K2375),IF(ISNUMBER(SEARCH(Search!$B$3,$A2376&amp;"")),N(K2375)+1,N(K2375))))</f>
        <v>0</v>
      </c>
    </row>
    <row r="2377" customFormat="false" ht="15" hidden="false" customHeight="false" outlineLevel="0" collapsed="false">
      <c r="K2377" s="24" t="n">
        <f aca="false">IF(Search!$B$3="",0,IF($A2377="",N(K2376),IF(ISNUMBER(SEARCH(Search!$B$3,$A2377&amp;"")),N(K2376)+1,N(K2376))))</f>
        <v>0</v>
      </c>
    </row>
    <row r="2378" customFormat="false" ht="15" hidden="false" customHeight="false" outlineLevel="0" collapsed="false">
      <c r="K2378" s="24" t="n">
        <f aca="false">IF(Search!$B$3="",0,IF($A2378="",N(K2377),IF(ISNUMBER(SEARCH(Search!$B$3,$A2378&amp;"")),N(K2377)+1,N(K2377))))</f>
        <v>0</v>
      </c>
    </row>
    <row r="2379" customFormat="false" ht="15" hidden="false" customHeight="false" outlineLevel="0" collapsed="false">
      <c r="K2379" s="24" t="n">
        <f aca="false">IF(Search!$B$3="",0,IF($A2379="",N(K2378),IF(ISNUMBER(SEARCH(Search!$B$3,$A2379&amp;"")),N(K2378)+1,N(K2378))))</f>
        <v>0</v>
      </c>
    </row>
    <row r="2380" customFormat="false" ht="15" hidden="false" customHeight="false" outlineLevel="0" collapsed="false">
      <c r="K2380" s="24" t="n">
        <f aca="false">IF(Search!$B$3="",0,IF($A2380="",N(K2379),IF(ISNUMBER(SEARCH(Search!$B$3,$A2380&amp;"")),N(K2379)+1,N(K2379))))</f>
        <v>0</v>
      </c>
    </row>
    <row r="2381" customFormat="false" ht="15" hidden="false" customHeight="false" outlineLevel="0" collapsed="false">
      <c r="K2381" s="24" t="n">
        <f aca="false">IF(Search!$B$3="",0,IF($A2381="",N(K2380),IF(ISNUMBER(SEARCH(Search!$B$3,$A2381&amp;"")),N(K2380)+1,N(K2380))))</f>
        <v>0</v>
      </c>
    </row>
    <row r="2382" customFormat="false" ht="15" hidden="false" customHeight="false" outlineLevel="0" collapsed="false">
      <c r="K2382" s="24" t="n">
        <f aca="false">IF(Search!$B$3="",0,IF($A2382="",N(K2381),IF(ISNUMBER(SEARCH(Search!$B$3,$A2382&amp;"")),N(K2381)+1,N(K2381))))</f>
        <v>0</v>
      </c>
    </row>
    <row r="2383" customFormat="false" ht="15" hidden="false" customHeight="false" outlineLevel="0" collapsed="false">
      <c r="K2383" s="24" t="n">
        <f aca="false">IF(Search!$B$3="",0,IF($A2383="",N(K2382),IF(ISNUMBER(SEARCH(Search!$B$3,$A2383&amp;"")),N(K2382)+1,N(K2382))))</f>
        <v>0</v>
      </c>
    </row>
    <row r="2384" customFormat="false" ht="15" hidden="false" customHeight="false" outlineLevel="0" collapsed="false">
      <c r="K2384" s="24" t="n">
        <f aca="false">IF(Search!$B$3="",0,IF($A2384="",N(K2383),IF(ISNUMBER(SEARCH(Search!$B$3,$A2384&amp;"")),N(K2383)+1,N(K2383))))</f>
        <v>0</v>
      </c>
    </row>
    <row r="2385" customFormat="false" ht="15" hidden="false" customHeight="false" outlineLevel="0" collapsed="false">
      <c r="K2385" s="24" t="n">
        <f aca="false">IF(Search!$B$3="",0,IF($A2385="",N(K2384),IF(ISNUMBER(SEARCH(Search!$B$3,$A2385&amp;"")),N(K2384)+1,N(K2384))))</f>
        <v>0</v>
      </c>
    </row>
    <row r="2386" customFormat="false" ht="15" hidden="false" customHeight="false" outlineLevel="0" collapsed="false">
      <c r="K2386" s="24" t="n">
        <f aca="false">IF(Search!$B$3="",0,IF($A2386="",N(K2385),IF(ISNUMBER(SEARCH(Search!$B$3,$A2386&amp;"")),N(K2385)+1,N(K2385))))</f>
        <v>0</v>
      </c>
    </row>
    <row r="2387" customFormat="false" ht="15" hidden="false" customHeight="false" outlineLevel="0" collapsed="false">
      <c r="K2387" s="24" t="n">
        <f aca="false">IF(Search!$B$3="",0,IF($A2387="",N(K2386),IF(ISNUMBER(SEARCH(Search!$B$3,$A2387&amp;"")),N(K2386)+1,N(K2386))))</f>
        <v>0</v>
      </c>
    </row>
    <row r="2388" customFormat="false" ht="15" hidden="false" customHeight="false" outlineLevel="0" collapsed="false">
      <c r="K2388" s="24" t="n">
        <f aca="false">IF(Search!$B$3="",0,IF($A2388="",N(K2387),IF(ISNUMBER(SEARCH(Search!$B$3,$A2388&amp;"")),N(K2387)+1,N(K2387))))</f>
        <v>0</v>
      </c>
    </row>
    <row r="2389" customFormat="false" ht="15" hidden="false" customHeight="false" outlineLevel="0" collapsed="false">
      <c r="K2389" s="24" t="n">
        <f aca="false">IF(Search!$B$3="",0,IF($A2389="",N(K2388),IF(ISNUMBER(SEARCH(Search!$B$3,$A2389&amp;"")),N(K2388)+1,N(K2388))))</f>
        <v>0</v>
      </c>
    </row>
    <row r="2390" customFormat="false" ht="15" hidden="false" customHeight="false" outlineLevel="0" collapsed="false">
      <c r="K2390" s="24" t="n">
        <f aca="false">IF(Search!$B$3="",0,IF($A2390="",N(K2389),IF(ISNUMBER(SEARCH(Search!$B$3,$A2390&amp;"")),N(K2389)+1,N(K2389))))</f>
        <v>0</v>
      </c>
    </row>
    <row r="2391" customFormat="false" ht="15" hidden="false" customHeight="false" outlineLevel="0" collapsed="false">
      <c r="K2391" s="24" t="n">
        <f aca="false">IF(Search!$B$3="",0,IF($A2391="",N(K2390),IF(ISNUMBER(SEARCH(Search!$B$3,$A2391&amp;"")),N(K2390)+1,N(K2390))))</f>
        <v>0</v>
      </c>
    </row>
    <row r="2392" customFormat="false" ht="15" hidden="false" customHeight="false" outlineLevel="0" collapsed="false">
      <c r="K2392" s="24" t="n">
        <f aca="false">IF(Search!$B$3="",0,IF($A2392="",N(K2391),IF(ISNUMBER(SEARCH(Search!$B$3,$A2392&amp;"")),N(K2391)+1,N(K2391))))</f>
        <v>0</v>
      </c>
    </row>
    <row r="2393" customFormat="false" ht="15" hidden="false" customHeight="false" outlineLevel="0" collapsed="false">
      <c r="K2393" s="24" t="n">
        <f aca="false">IF(Search!$B$3="",0,IF($A2393="",N(K2392),IF(ISNUMBER(SEARCH(Search!$B$3,$A2393&amp;"")),N(K2392)+1,N(K2392))))</f>
        <v>0</v>
      </c>
    </row>
    <row r="2394" customFormat="false" ht="15" hidden="false" customHeight="false" outlineLevel="0" collapsed="false">
      <c r="K2394" s="24" t="n">
        <f aca="false">IF(Search!$B$3="",0,IF($A2394="",N(K2393),IF(ISNUMBER(SEARCH(Search!$B$3,$A2394&amp;"")),N(K2393)+1,N(K2393))))</f>
        <v>0</v>
      </c>
    </row>
    <row r="2395" customFormat="false" ht="15" hidden="false" customHeight="false" outlineLevel="0" collapsed="false">
      <c r="K2395" s="24" t="n">
        <f aca="false">IF(Search!$B$3="",0,IF($A2395="",N(K2394),IF(ISNUMBER(SEARCH(Search!$B$3,$A2395&amp;"")),N(K2394)+1,N(K2394))))</f>
        <v>0</v>
      </c>
    </row>
    <row r="2396" customFormat="false" ht="15" hidden="false" customHeight="false" outlineLevel="0" collapsed="false">
      <c r="K2396" s="24" t="n">
        <f aca="false">IF(Search!$B$3="",0,IF($A2396="",N(K2395),IF(ISNUMBER(SEARCH(Search!$B$3,$A2396&amp;"")),N(K2395)+1,N(K2395))))</f>
        <v>0</v>
      </c>
    </row>
    <row r="2397" customFormat="false" ht="15" hidden="false" customHeight="false" outlineLevel="0" collapsed="false">
      <c r="K2397" s="24" t="n">
        <f aca="false">IF(Search!$B$3="",0,IF($A2397="",N(K2396),IF(ISNUMBER(SEARCH(Search!$B$3,$A2397&amp;"")),N(K2396)+1,N(K2396))))</f>
        <v>0</v>
      </c>
    </row>
    <row r="2398" customFormat="false" ht="15" hidden="false" customHeight="false" outlineLevel="0" collapsed="false">
      <c r="K2398" s="24" t="n">
        <f aca="false">IF(Search!$B$3="",0,IF($A2398="",N(K2397),IF(ISNUMBER(SEARCH(Search!$B$3,$A2398&amp;"")),N(K2397)+1,N(K2397))))</f>
        <v>0</v>
      </c>
    </row>
    <row r="2399" customFormat="false" ht="15" hidden="false" customHeight="false" outlineLevel="0" collapsed="false">
      <c r="K2399" s="24" t="n">
        <f aca="false">IF(Search!$B$3="",0,IF($A2399="",N(K2398),IF(ISNUMBER(SEARCH(Search!$B$3,$A2399&amp;"")),N(K2398)+1,N(K2398))))</f>
        <v>0</v>
      </c>
    </row>
    <row r="2400" customFormat="false" ht="15" hidden="false" customHeight="false" outlineLevel="0" collapsed="false">
      <c r="K2400" s="24" t="n">
        <f aca="false">IF(Search!$B$3="",0,IF($A2400="",N(K2399),IF(ISNUMBER(SEARCH(Search!$B$3,$A2400&amp;"")),N(K2399)+1,N(K2399))))</f>
        <v>0</v>
      </c>
    </row>
    <row r="2401" customFormat="false" ht="15" hidden="false" customHeight="false" outlineLevel="0" collapsed="false">
      <c r="K2401" s="24" t="n">
        <f aca="false">IF(Search!$B$3="",0,IF($A2401="",N(K2400),IF(ISNUMBER(SEARCH(Search!$B$3,$A2401&amp;"")),N(K2400)+1,N(K2400))))</f>
        <v>0</v>
      </c>
    </row>
    <row r="2402" customFormat="false" ht="15" hidden="false" customHeight="false" outlineLevel="0" collapsed="false">
      <c r="K2402" s="24" t="n">
        <f aca="false">IF(Search!$B$3="",0,IF($A2402="",N(K2401),IF(ISNUMBER(SEARCH(Search!$B$3,$A2402&amp;"")),N(K2401)+1,N(K2401))))</f>
        <v>0</v>
      </c>
    </row>
    <row r="2403" customFormat="false" ht="15" hidden="false" customHeight="false" outlineLevel="0" collapsed="false">
      <c r="K2403" s="24" t="n">
        <f aca="false">IF(Search!$B$3="",0,IF($A2403="",N(K2402),IF(ISNUMBER(SEARCH(Search!$B$3,$A2403&amp;"")),N(K2402)+1,N(K2402))))</f>
        <v>0</v>
      </c>
    </row>
    <row r="2404" customFormat="false" ht="15" hidden="false" customHeight="false" outlineLevel="0" collapsed="false">
      <c r="K2404" s="24" t="n">
        <f aca="false">IF(Search!$B$3="",0,IF($A2404="",N(K2403),IF(ISNUMBER(SEARCH(Search!$B$3,$A2404&amp;"")),N(K2403)+1,N(K2403))))</f>
        <v>0</v>
      </c>
    </row>
    <row r="2405" customFormat="false" ht="15" hidden="false" customHeight="false" outlineLevel="0" collapsed="false">
      <c r="K2405" s="24" t="n">
        <f aca="false">IF(Search!$B$3="",0,IF($A2405="",N(K2404),IF(ISNUMBER(SEARCH(Search!$B$3,$A2405&amp;"")),N(K2404)+1,N(K2404))))</f>
        <v>0</v>
      </c>
    </row>
    <row r="2406" customFormat="false" ht="15" hidden="false" customHeight="false" outlineLevel="0" collapsed="false">
      <c r="K2406" s="24" t="n">
        <f aca="false">IF(Search!$B$3="",0,IF($A2406="",N(K2405),IF(ISNUMBER(SEARCH(Search!$B$3,$A2406&amp;"")),N(K2405)+1,N(K2405))))</f>
        <v>0</v>
      </c>
    </row>
    <row r="2407" customFormat="false" ht="15" hidden="false" customHeight="false" outlineLevel="0" collapsed="false">
      <c r="K2407" s="24" t="n">
        <f aca="false">IF(Search!$B$3="",0,IF($A2407="",N(K2406),IF(ISNUMBER(SEARCH(Search!$B$3,$A2407&amp;"")),N(K2406)+1,N(K2406))))</f>
        <v>0</v>
      </c>
    </row>
    <row r="2408" customFormat="false" ht="15" hidden="false" customHeight="false" outlineLevel="0" collapsed="false">
      <c r="K2408" s="24" t="n">
        <f aca="false">IF(Search!$B$3="",0,IF($A2408="",N(K2407),IF(ISNUMBER(SEARCH(Search!$B$3,$A2408&amp;"")),N(K2407)+1,N(K2407))))</f>
        <v>0</v>
      </c>
    </row>
    <row r="2409" customFormat="false" ht="15" hidden="false" customHeight="false" outlineLevel="0" collapsed="false">
      <c r="K2409" s="24" t="n">
        <f aca="false">IF(Search!$B$3="",0,IF($A2409="",N(K2408),IF(ISNUMBER(SEARCH(Search!$B$3,$A2409&amp;"")),N(K2408)+1,N(K2408))))</f>
        <v>0</v>
      </c>
    </row>
    <row r="2410" customFormat="false" ht="15" hidden="false" customHeight="false" outlineLevel="0" collapsed="false">
      <c r="K2410" s="24" t="n">
        <f aca="false">IF(Search!$B$3="",0,IF($A2410="",N(K2409),IF(ISNUMBER(SEARCH(Search!$B$3,$A2410&amp;"")),N(K2409)+1,N(K2409))))</f>
        <v>0</v>
      </c>
    </row>
    <row r="2411" customFormat="false" ht="15" hidden="false" customHeight="false" outlineLevel="0" collapsed="false">
      <c r="K2411" s="24" t="n">
        <f aca="false">IF(Search!$B$3="",0,IF($A2411="",N(K2410),IF(ISNUMBER(SEARCH(Search!$B$3,$A2411&amp;"")),N(K2410)+1,N(K2410))))</f>
        <v>0</v>
      </c>
    </row>
    <row r="2412" customFormat="false" ht="15" hidden="false" customHeight="false" outlineLevel="0" collapsed="false">
      <c r="K2412" s="24" t="n">
        <f aca="false">IF(Search!$B$3="",0,IF($A2412="",N(K2411),IF(ISNUMBER(SEARCH(Search!$B$3,$A2412&amp;"")),N(K2411)+1,N(K2411))))</f>
        <v>0</v>
      </c>
    </row>
    <row r="2413" customFormat="false" ht="15" hidden="false" customHeight="false" outlineLevel="0" collapsed="false">
      <c r="K2413" s="24" t="n">
        <f aca="false">IF(Search!$B$3="",0,IF($A2413="",N(K2412),IF(ISNUMBER(SEARCH(Search!$B$3,$A2413&amp;"")),N(K2412)+1,N(K2412))))</f>
        <v>0</v>
      </c>
    </row>
    <row r="2414" customFormat="false" ht="15" hidden="false" customHeight="false" outlineLevel="0" collapsed="false">
      <c r="K2414" s="24" t="n">
        <f aca="false">IF(Search!$B$3="",0,IF($A2414="",N(K2413),IF(ISNUMBER(SEARCH(Search!$B$3,$A2414&amp;"")),N(K2413)+1,N(K2413))))</f>
        <v>0</v>
      </c>
    </row>
    <row r="2415" customFormat="false" ht="15" hidden="false" customHeight="false" outlineLevel="0" collapsed="false">
      <c r="K2415" s="24" t="n">
        <f aca="false">IF(Search!$B$3="",0,IF($A2415="",N(K2414),IF(ISNUMBER(SEARCH(Search!$B$3,$A2415&amp;"")),N(K2414)+1,N(K2414))))</f>
        <v>0</v>
      </c>
    </row>
    <row r="2416" customFormat="false" ht="15" hidden="false" customHeight="false" outlineLevel="0" collapsed="false">
      <c r="K2416" s="24" t="n">
        <f aca="false">IF(Search!$B$3="",0,IF($A2416="",N(K2415),IF(ISNUMBER(SEARCH(Search!$B$3,$A2416&amp;"")),N(K2415)+1,N(K2415))))</f>
        <v>0</v>
      </c>
    </row>
    <row r="2417" customFormat="false" ht="15" hidden="false" customHeight="false" outlineLevel="0" collapsed="false">
      <c r="K2417" s="24" t="n">
        <f aca="false">IF(Search!$B$3="",0,IF($A2417="",N(K2416),IF(ISNUMBER(SEARCH(Search!$B$3,$A2417&amp;"")),N(K2416)+1,N(K2416))))</f>
        <v>0</v>
      </c>
    </row>
    <row r="2418" customFormat="false" ht="15" hidden="false" customHeight="false" outlineLevel="0" collapsed="false">
      <c r="K2418" s="24" t="n">
        <f aca="false">IF(Search!$B$3="",0,IF($A2418="",N(K2417),IF(ISNUMBER(SEARCH(Search!$B$3,$A2418&amp;"")),N(K2417)+1,N(K2417))))</f>
        <v>0</v>
      </c>
    </row>
    <row r="2419" customFormat="false" ht="15" hidden="false" customHeight="false" outlineLevel="0" collapsed="false">
      <c r="K2419" s="24" t="n">
        <f aca="false">IF(Search!$B$3="",0,IF($A2419="",N(K2418),IF(ISNUMBER(SEARCH(Search!$B$3,$A2419&amp;"")),N(K2418)+1,N(K2418))))</f>
        <v>0</v>
      </c>
    </row>
    <row r="2420" customFormat="false" ht="15" hidden="false" customHeight="false" outlineLevel="0" collapsed="false">
      <c r="K2420" s="24" t="n">
        <f aca="false">IF(Search!$B$3="",0,IF($A2420="",N(K2419),IF(ISNUMBER(SEARCH(Search!$B$3,$A2420&amp;"")),N(K2419)+1,N(K2419))))</f>
        <v>0</v>
      </c>
    </row>
    <row r="2421" customFormat="false" ht="15" hidden="false" customHeight="false" outlineLevel="0" collapsed="false">
      <c r="K2421" s="24" t="n">
        <f aca="false">IF(Search!$B$3="",0,IF($A2421="",N(K2420),IF(ISNUMBER(SEARCH(Search!$B$3,$A2421&amp;"")),N(K2420)+1,N(K2420))))</f>
        <v>0</v>
      </c>
    </row>
    <row r="2422" customFormat="false" ht="15" hidden="false" customHeight="false" outlineLevel="0" collapsed="false">
      <c r="K2422" s="24" t="n">
        <f aca="false">IF(Search!$B$3="",0,IF($A2422="",N(K2421),IF(ISNUMBER(SEARCH(Search!$B$3,$A2422&amp;"")),N(K2421)+1,N(K2421))))</f>
        <v>0</v>
      </c>
    </row>
    <row r="2423" customFormat="false" ht="15" hidden="false" customHeight="false" outlineLevel="0" collapsed="false">
      <c r="K2423" s="24" t="n">
        <f aca="false">IF(Search!$B$3="",0,IF($A2423="",N(K2422),IF(ISNUMBER(SEARCH(Search!$B$3,$A2423&amp;"")),N(K2422)+1,N(K2422))))</f>
        <v>0</v>
      </c>
    </row>
    <row r="2424" customFormat="false" ht="15" hidden="false" customHeight="false" outlineLevel="0" collapsed="false">
      <c r="K2424" s="24" t="n">
        <f aca="false">IF(Search!$B$3="",0,IF($A2424="",N(K2423),IF(ISNUMBER(SEARCH(Search!$B$3,$A2424&amp;"")),N(K2423)+1,N(K2423))))</f>
        <v>0</v>
      </c>
    </row>
    <row r="2425" customFormat="false" ht="15" hidden="false" customHeight="false" outlineLevel="0" collapsed="false">
      <c r="K2425" s="24" t="n">
        <f aca="false">IF(Search!$B$3="",0,IF($A2425="",N(K2424),IF(ISNUMBER(SEARCH(Search!$B$3,$A2425&amp;"")),N(K2424)+1,N(K2424))))</f>
        <v>0</v>
      </c>
    </row>
    <row r="2426" customFormat="false" ht="15" hidden="false" customHeight="false" outlineLevel="0" collapsed="false">
      <c r="K2426" s="24" t="n">
        <f aca="false">IF(Search!$B$3="",0,IF($A2426="",N(K2425),IF(ISNUMBER(SEARCH(Search!$B$3,$A2426&amp;"")),N(K2425)+1,N(K2425))))</f>
        <v>0</v>
      </c>
    </row>
    <row r="2427" customFormat="false" ht="15" hidden="false" customHeight="false" outlineLevel="0" collapsed="false">
      <c r="K2427" s="24" t="n">
        <f aca="false">IF(Search!$B$3="",0,IF($A2427="",N(K2426),IF(ISNUMBER(SEARCH(Search!$B$3,$A2427&amp;"")),N(K2426)+1,N(K2426))))</f>
        <v>0</v>
      </c>
    </row>
    <row r="2428" customFormat="false" ht="15" hidden="false" customHeight="false" outlineLevel="0" collapsed="false">
      <c r="K2428" s="24" t="n">
        <f aca="false">IF(Search!$B$3="",0,IF($A2428="",N(K2427),IF(ISNUMBER(SEARCH(Search!$B$3,$A2428&amp;"")),N(K2427)+1,N(K2427))))</f>
        <v>0</v>
      </c>
    </row>
    <row r="2429" customFormat="false" ht="15" hidden="false" customHeight="false" outlineLevel="0" collapsed="false">
      <c r="K2429" s="24" t="n">
        <f aca="false">IF(Search!$B$3="",0,IF($A2429="",N(K2428),IF(ISNUMBER(SEARCH(Search!$B$3,$A2429&amp;"")),N(K2428)+1,N(K2428))))</f>
        <v>0</v>
      </c>
    </row>
    <row r="2430" customFormat="false" ht="15" hidden="false" customHeight="false" outlineLevel="0" collapsed="false">
      <c r="K2430" s="24" t="n">
        <f aca="false">IF(Search!$B$3="",0,IF($A2430="",N(K2429),IF(ISNUMBER(SEARCH(Search!$B$3,$A2430&amp;"")),N(K2429)+1,N(K2429))))</f>
        <v>0</v>
      </c>
    </row>
    <row r="2431" customFormat="false" ht="15" hidden="false" customHeight="false" outlineLevel="0" collapsed="false">
      <c r="K2431" s="24" t="n">
        <f aca="false">IF(Search!$B$3="",0,IF($A2431="",N(K2430),IF(ISNUMBER(SEARCH(Search!$B$3,$A2431&amp;"")),N(K2430)+1,N(K2430))))</f>
        <v>0</v>
      </c>
    </row>
    <row r="2432" customFormat="false" ht="15" hidden="false" customHeight="false" outlineLevel="0" collapsed="false">
      <c r="K2432" s="24" t="n">
        <f aca="false">IF(Search!$B$3="",0,IF($A2432="",N(K2431),IF(ISNUMBER(SEARCH(Search!$B$3,$A2432&amp;"")),N(K2431)+1,N(K2431))))</f>
        <v>0</v>
      </c>
    </row>
    <row r="2433" customFormat="false" ht="15" hidden="false" customHeight="false" outlineLevel="0" collapsed="false">
      <c r="K2433" s="24" t="n">
        <f aca="false">IF(Search!$B$3="",0,IF($A2433="",N(K2432),IF(ISNUMBER(SEARCH(Search!$B$3,$A2433&amp;"")),N(K2432)+1,N(K2432))))</f>
        <v>0</v>
      </c>
    </row>
    <row r="2434" customFormat="false" ht="15" hidden="false" customHeight="false" outlineLevel="0" collapsed="false">
      <c r="K2434" s="24" t="n">
        <f aca="false">IF(Search!$B$3="",0,IF($A2434="",N(K2433),IF(ISNUMBER(SEARCH(Search!$B$3,$A2434&amp;"")),N(K2433)+1,N(K2433))))</f>
        <v>0</v>
      </c>
    </row>
    <row r="2435" customFormat="false" ht="15" hidden="false" customHeight="false" outlineLevel="0" collapsed="false">
      <c r="K2435" s="24" t="n">
        <f aca="false">IF(Search!$B$3="",0,IF($A2435="",N(K2434),IF(ISNUMBER(SEARCH(Search!$B$3,$A2435&amp;"")),N(K2434)+1,N(K2434))))</f>
        <v>0</v>
      </c>
    </row>
    <row r="2436" customFormat="false" ht="15" hidden="false" customHeight="false" outlineLevel="0" collapsed="false">
      <c r="K2436" s="24" t="n">
        <f aca="false">IF(Search!$B$3="",0,IF($A2436="",N(K2435),IF(ISNUMBER(SEARCH(Search!$B$3,$A2436&amp;"")),N(K2435)+1,N(K2435))))</f>
        <v>0</v>
      </c>
    </row>
    <row r="2437" customFormat="false" ht="15" hidden="false" customHeight="false" outlineLevel="0" collapsed="false">
      <c r="K2437" s="24" t="n">
        <f aca="false">IF(Search!$B$3="",0,IF($A2437="",N(K2436),IF(ISNUMBER(SEARCH(Search!$B$3,$A2437&amp;"")),N(K2436)+1,N(K2436))))</f>
        <v>0</v>
      </c>
    </row>
    <row r="2438" customFormat="false" ht="15" hidden="false" customHeight="false" outlineLevel="0" collapsed="false">
      <c r="K2438" s="24" t="n">
        <f aca="false">IF(Search!$B$3="",0,IF($A2438="",N(K2437),IF(ISNUMBER(SEARCH(Search!$B$3,$A2438&amp;"")),N(K2437)+1,N(K2437))))</f>
        <v>0</v>
      </c>
    </row>
    <row r="2439" customFormat="false" ht="15" hidden="false" customHeight="false" outlineLevel="0" collapsed="false">
      <c r="K2439" s="24" t="n">
        <f aca="false">IF(Search!$B$3="",0,IF($A2439="",N(K2438),IF(ISNUMBER(SEARCH(Search!$B$3,$A2439&amp;"")),N(K2438)+1,N(K2438))))</f>
        <v>0</v>
      </c>
    </row>
    <row r="2440" customFormat="false" ht="15" hidden="false" customHeight="false" outlineLevel="0" collapsed="false">
      <c r="K2440" s="24" t="n">
        <f aca="false">IF(Search!$B$3="",0,IF($A2440="",N(K2439),IF(ISNUMBER(SEARCH(Search!$B$3,$A2440&amp;"")),N(K2439)+1,N(K2439))))</f>
        <v>0</v>
      </c>
    </row>
    <row r="2441" customFormat="false" ht="15" hidden="false" customHeight="false" outlineLevel="0" collapsed="false">
      <c r="K2441" s="24" t="n">
        <f aca="false">IF(Search!$B$3="",0,IF($A2441="",N(K2440),IF(ISNUMBER(SEARCH(Search!$B$3,$A2441&amp;"")),N(K2440)+1,N(K2440))))</f>
        <v>0</v>
      </c>
    </row>
    <row r="2442" customFormat="false" ht="15" hidden="false" customHeight="false" outlineLevel="0" collapsed="false">
      <c r="K2442" s="24" t="n">
        <f aca="false">IF(Search!$B$3="",0,IF($A2442="",N(K2441),IF(ISNUMBER(SEARCH(Search!$B$3,$A2442&amp;"")),N(K2441)+1,N(K2441))))</f>
        <v>0</v>
      </c>
    </row>
    <row r="2443" customFormat="false" ht="15" hidden="false" customHeight="false" outlineLevel="0" collapsed="false">
      <c r="K2443" s="24" t="n">
        <f aca="false">IF(Search!$B$3="",0,IF($A2443="",N(K2442),IF(ISNUMBER(SEARCH(Search!$B$3,$A2443&amp;"")),N(K2442)+1,N(K2442))))</f>
        <v>0</v>
      </c>
    </row>
    <row r="2444" customFormat="false" ht="15" hidden="false" customHeight="false" outlineLevel="0" collapsed="false">
      <c r="K2444" s="24" t="n">
        <f aca="false">IF(Search!$B$3="",0,IF($A2444="",N(K2443),IF(ISNUMBER(SEARCH(Search!$B$3,$A2444&amp;"")),N(K2443)+1,N(K2443))))</f>
        <v>0</v>
      </c>
    </row>
    <row r="2445" customFormat="false" ht="15" hidden="false" customHeight="false" outlineLevel="0" collapsed="false">
      <c r="K2445" s="24" t="n">
        <f aca="false">IF(Search!$B$3="",0,IF($A2445="",N(K2444),IF(ISNUMBER(SEARCH(Search!$B$3,$A2445&amp;"")),N(K2444)+1,N(K2444))))</f>
        <v>0</v>
      </c>
    </row>
    <row r="2446" customFormat="false" ht="15" hidden="false" customHeight="false" outlineLevel="0" collapsed="false">
      <c r="K2446" s="24" t="n">
        <f aca="false">IF(Search!$B$3="",0,IF($A2446="",N(K2445),IF(ISNUMBER(SEARCH(Search!$B$3,$A2446&amp;"")),N(K2445)+1,N(K2445))))</f>
        <v>0</v>
      </c>
    </row>
    <row r="2447" customFormat="false" ht="15" hidden="false" customHeight="false" outlineLevel="0" collapsed="false">
      <c r="K2447" s="24" t="n">
        <f aca="false">IF(Search!$B$3="",0,IF($A2447="",N(K2446),IF(ISNUMBER(SEARCH(Search!$B$3,$A2447&amp;"")),N(K2446)+1,N(K2446))))</f>
        <v>0</v>
      </c>
    </row>
    <row r="2448" customFormat="false" ht="15" hidden="false" customHeight="false" outlineLevel="0" collapsed="false">
      <c r="K2448" s="24" t="n">
        <f aca="false">IF(Search!$B$3="",0,IF($A2448="",N(K2447),IF(ISNUMBER(SEARCH(Search!$B$3,$A2448&amp;"")),N(K2447)+1,N(K2447))))</f>
        <v>0</v>
      </c>
    </row>
    <row r="2449" customFormat="false" ht="15" hidden="false" customHeight="false" outlineLevel="0" collapsed="false">
      <c r="K2449" s="24" t="n">
        <f aca="false">IF(Search!$B$3="",0,IF($A2449="",N(K2448),IF(ISNUMBER(SEARCH(Search!$B$3,$A2449&amp;"")),N(K2448)+1,N(K2448))))</f>
        <v>0</v>
      </c>
    </row>
    <row r="2450" customFormat="false" ht="15" hidden="false" customHeight="false" outlineLevel="0" collapsed="false">
      <c r="K2450" s="24" t="n">
        <f aca="false">IF(Search!$B$3="",0,IF($A2450="",N(K2449),IF(ISNUMBER(SEARCH(Search!$B$3,$A2450&amp;"")),N(K2449)+1,N(K2449))))</f>
        <v>0</v>
      </c>
    </row>
    <row r="2451" customFormat="false" ht="15" hidden="false" customHeight="false" outlineLevel="0" collapsed="false">
      <c r="K2451" s="24" t="n">
        <f aca="false">IF(Search!$B$3="",0,IF($A2451="",N(K2450),IF(ISNUMBER(SEARCH(Search!$B$3,$A2451&amp;"")),N(K2450)+1,N(K2450))))</f>
        <v>0</v>
      </c>
    </row>
    <row r="2452" customFormat="false" ht="15" hidden="false" customHeight="false" outlineLevel="0" collapsed="false">
      <c r="K2452" s="24" t="n">
        <f aca="false">IF(Search!$B$3="",0,IF($A2452="",N(K2451),IF(ISNUMBER(SEARCH(Search!$B$3,$A2452&amp;"")),N(K2451)+1,N(K2451))))</f>
        <v>0</v>
      </c>
    </row>
    <row r="2453" customFormat="false" ht="15" hidden="false" customHeight="false" outlineLevel="0" collapsed="false">
      <c r="K2453" s="24" t="n">
        <f aca="false">IF(Search!$B$3="",0,IF($A2453="",N(K2452),IF(ISNUMBER(SEARCH(Search!$B$3,$A2453&amp;"")),N(K2452)+1,N(K2452))))</f>
        <v>0</v>
      </c>
    </row>
    <row r="2454" customFormat="false" ht="15" hidden="false" customHeight="false" outlineLevel="0" collapsed="false">
      <c r="K2454" s="24" t="n">
        <f aca="false">IF(Search!$B$3="",0,IF($A2454="",N(K2453),IF(ISNUMBER(SEARCH(Search!$B$3,$A2454&amp;"")),N(K2453)+1,N(K2453))))</f>
        <v>0</v>
      </c>
    </row>
    <row r="2455" customFormat="false" ht="15" hidden="false" customHeight="false" outlineLevel="0" collapsed="false">
      <c r="K2455" s="24" t="n">
        <f aca="false">IF(Search!$B$3="",0,IF($A2455="",N(K2454),IF(ISNUMBER(SEARCH(Search!$B$3,$A2455&amp;"")),N(K2454)+1,N(K2454))))</f>
        <v>0</v>
      </c>
    </row>
    <row r="2456" customFormat="false" ht="15" hidden="false" customHeight="false" outlineLevel="0" collapsed="false">
      <c r="K2456" s="24" t="n">
        <f aca="false">IF(Search!$B$3="",0,IF($A2456="",N(K2455),IF(ISNUMBER(SEARCH(Search!$B$3,$A2456&amp;"")),N(K2455)+1,N(K2455))))</f>
        <v>0</v>
      </c>
    </row>
    <row r="2457" customFormat="false" ht="15" hidden="false" customHeight="false" outlineLevel="0" collapsed="false">
      <c r="K2457" s="24" t="n">
        <f aca="false">IF(Search!$B$3="",0,IF($A2457="",N(K2456),IF(ISNUMBER(SEARCH(Search!$B$3,$A2457&amp;"")),N(K2456)+1,N(K2456))))</f>
        <v>0</v>
      </c>
    </row>
    <row r="2458" customFormat="false" ht="15" hidden="false" customHeight="false" outlineLevel="0" collapsed="false">
      <c r="K2458" s="24" t="n">
        <f aca="false">IF(Search!$B$3="",0,IF($A2458="",N(K2457),IF(ISNUMBER(SEARCH(Search!$B$3,$A2458&amp;"")),N(K2457)+1,N(K2457))))</f>
        <v>0</v>
      </c>
    </row>
    <row r="2459" customFormat="false" ht="15" hidden="false" customHeight="false" outlineLevel="0" collapsed="false">
      <c r="K2459" s="24" t="n">
        <f aca="false">IF(Search!$B$3="",0,IF($A2459="",N(K2458),IF(ISNUMBER(SEARCH(Search!$B$3,$A2459&amp;"")),N(K2458)+1,N(K2458))))</f>
        <v>0</v>
      </c>
    </row>
    <row r="2460" customFormat="false" ht="15" hidden="false" customHeight="false" outlineLevel="0" collapsed="false">
      <c r="K2460" s="24" t="n">
        <f aca="false">IF(Search!$B$3="",0,IF($A2460="",N(K2459),IF(ISNUMBER(SEARCH(Search!$B$3,$A2460&amp;"")),N(K2459)+1,N(K2459))))</f>
        <v>0</v>
      </c>
    </row>
    <row r="2461" customFormat="false" ht="15" hidden="false" customHeight="false" outlineLevel="0" collapsed="false">
      <c r="K2461" s="24" t="n">
        <f aca="false">IF(Search!$B$3="",0,IF($A2461="",N(K2460),IF(ISNUMBER(SEARCH(Search!$B$3,$A2461&amp;"")),N(K2460)+1,N(K2460))))</f>
        <v>0</v>
      </c>
    </row>
    <row r="2462" customFormat="false" ht="15" hidden="false" customHeight="false" outlineLevel="0" collapsed="false">
      <c r="K2462" s="24" t="n">
        <f aca="false">IF(Search!$B$3="",0,IF($A2462="",N(K2461),IF(ISNUMBER(SEARCH(Search!$B$3,$A2462&amp;"")),N(K2461)+1,N(K2461))))</f>
        <v>0</v>
      </c>
    </row>
    <row r="2463" customFormat="false" ht="15" hidden="false" customHeight="false" outlineLevel="0" collapsed="false">
      <c r="K2463" s="24" t="n">
        <f aca="false">IF(Search!$B$3="",0,IF($A2463="",N(K2462),IF(ISNUMBER(SEARCH(Search!$B$3,$A2463&amp;"")),N(K2462)+1,N(K2462))))</f>
        <v>0</v>
      </c>
    </row>
    <row r="2464" customFormat="false" ht="15" hidden="false" customHeight="false" outlineLevel="0" collapsed="false">
      <c r="K2464" s="24" t="n">
        <f aca="false">IF(Search!$B$3="",0,IF($A2464="",N(K2463),IF(ISNUMBER(SEARCH(Search!$B$3,$A2464&amp;"")),N(K2463)+1,N(K2463))))</f>
        <v>0</v>
      </c>
    </row>
    <row r="2465" customFormat="false" ht="15" hidden="false" customHeight="false" outlineLevel="0" collapsed="false">
      <c r="K2465" s="24" t="n">
        <f aca="false">IF(Search!$B$3="",0,IF($A2465="",N(K2464),IF(ISNUMBER(SEARCH(Search!$B$3,$A2465&amp;"")),N(K2464)+1,N(K2464))))</f>
        <v>0</v>
      </c>
    </row>
    <row r="2466" customFormat="false" ht="15" hidden="false" customHeight="false" outlineLevel="0" collapsed="false">
      <c r="K2466" s="24" t="n">
        <f aca="false">IF(Search!$B$3="",0,IF($A2466="",N(K2465),IF(ISNUMBER(SEARCH(Search!$B$3,$A2466&amp;"")),N(K2465)+1,N(K2465))))</f>
        <v>0</v>
      </c>
    </row>
    <row r="2467" customFormat="false" ht="15" hidden="false" customHeight="false" outlineLevel="0" collapsed="false">
      <c r="K2467" s="24" t="n">
        <f aca="false">IF(Search!$B$3="",0,IF($A2467="",N(K2466),IF(ISNUMBER(SEARCH(Search!$B$3,$A2467&amp;"")),N(K2466)+1,N(K2466))))</f>
        <v>0</v>
      </c>
    </row>
    <row r="2468" customFormat="false" ht="15" hidden="false" customHeight="false" outlineLevel="0" collapsed="false">
      <c r="K2468" s="24" t="n">
        <f aca="false">IF(Search!$B$3="",0,IF($A2468="",N(K2467),IF(ISNUMBER(SEARCH(Search!$B$3,$A2468&amp;"")),N(K2467)+1,N(K2467))))</f>
        <v>0</v>
      </c>
    </row>
    <row r="2469" customFormat="false" ht="15" hidden="false" customHeight="false" outlineLevel="0" collapsed="false">
      <c r="K2469" s="24" t="n">
        <f aca="false">IF(Search!$B$3="",0,IF($A2469="",N(K2468),IF(ISNUMBER(SEARCH(Search!$B$3,$A2469&amp;"")),N(K2468)+1,N(K2468))))</f>
        <v>0</v>
      </c>
    </row>
    <row r="2470" customFormat="false" ht="15" hidden="false" customHeight="false" outlineLevel="0" collapsed="false">
      <c r="K2470" s="24" t="n">
        <f aca="false">IF(Search!$B$3="",0,IF($A2470="",N(K2469),IF(ISNUMBER(SEARCH(Search!$B$3,$A2470&amp;"")),N(K2469)+1,N(K2469))))</f>
        <v>0</v>
      </c>
    </row>
    <row r="2471" customFormat="false" ht="15" hidden="false" customHeight="false" outlineLevel="0" collapsed="false">
      <c r="K2471" s="24" t="n">
        <f aca="false">IF(Search!$B$3="",0,IF($A2471="",N(K2470),IF(ISNUMBER(SEARCH(Search!$B$3,$A2471&amp;"")),N(K2470)+1,N(K2470))))</f>
        <v>0</v>
      </c>
    </row>
    <row r="2472" customFormat="false" ht="15" hidden="false" customHeight="false" outlineLevel="0" collapsed="false">
      <c r="K2472" s="24" t="n">
        <f aca="false">IF(Search!$B$3="",0,IF($A2472="",N(K2471),IF(ISNUMBER(SEARCH(Search!$B$3,$A2472&amp;"")),N(K2471)+1,N(K2471))))</f>
        <v>0</v>
      </c>
    </row>
    <row r="2473" customFormat="false" ht="15" hidden="false" customHeight="false" outlineLevel="0" collapsed="false">
      <c r="K2473" s="24" t="n">
        <f aca="false">IF(Search!$B$3="",0,IF($A2473="",N(K2472),IF(ISNUMBER(SEARCH(Search!$B$3,$A2473&amp;"")),N(K2472)+1,N(K2472))))</f>
        <v>0</v>
      </c>
    </row>
    <row r="2474" customFormat="false" ht="15" hidden="false" customHeight="false" outlineLevel="0" collapsed="false">
      <c r="K2474" s="24" t="n">
        <f aca="false">IF(Search!$B$3="",0,IF($A2474="",N(K2473),IF(ISNUMBER(SEARCH(Search!$B$3,$A2474&amp;"")),N(K2473)+1,N(K2473))))</f>
        <v>0</v>
      </c>
    </row>
    <row r="2475" customFormat="false" ht="15" hidden="false" customHeight="false" outlineLevel="0" collapsed="false">
      <c r="K2475" s="24" t="n">
        <f aca="false">IF(Search!$B$3="",0,IF($A2475="",N(K2474),IF(ISNUMBER(SEARCH(Search!$B$3,$A2475&amp;"")),N(K2474)+1,N(K2474))))</f>
        <v>0</v>
      </c>
    </row>
    <row r="2476" customFormat="false" ht="15" hidden="false" customHeight="false" outlineLevel="0" collapsed="false">
      <c r="K2476" s="24" t="n">
        <f aca="false">IF(Search!$B$3="",0,IF($A2476="",N(K2475),IF(ISNUMBER(SEARCH(Search!$B$3,$A2476&amp;"")),N(K2475)+1,N(K2475))))</f>
        <v>0</v>
      </c>
    </row>
    <row r="2477" customFormat="false" ht="15" hidden="false" customHeight="false" outlineLevel="0" collapsed="false">
      <c r="K2477" s="24" t="n">
        <f aca="false">IF(Search!$B$3="",0,IF($A2477="",N(K2476),IF(ISNUMBER(SEARCH(Search!$B$3,$A2477&amp;"")),N(K2476)+1,N(K2476))))</f>
        <v>0</v>
      </c>
    </row>
    <row r="2478" customFormat="false" ht="15" hidden="false" customHeight="false" outlineLevel="0" collapsed="false">
      <c r="K2478" s="24" t="n">
        <f aca="false">IF(Search!$B$3="",0,IF($A2478="",N(K2477),IF(ISNUMBER(SEARCH(Search!$B$3,$A2478&amp;"")),N(K2477)+1,N(K2477))))</f>
        <v>0</v>
      </c>
    </row>
    <row r="2479" customFormat="false" ht="15" hidden="false" customHeight="false" outlineLevel="0" collapsed="false">
      <c r="K2479" s="24" t="n">
        <f aca="false">IF(Search!$B$3="",0,IF($A2479="",N(K2478),IF(ISNUMBER(SEARCH(Search!$B$3,$A2479&amp;"")),N(K2478)+1,N(K2478))))</f>
        <v>0</v>
      </c>
    </row>
    <row r="2480" customFormat="false" ht="15" hidden="false" customHeight="false" outlineLevel="0" collapsed="false">
      <c r="K2480" s="24" t="n">
        <f aca="false">IF(Search!$B$3="",0,IF($A2480="",N(K2479),IF(ISNUMBER(SEARCH(Search!$B$3,$A2480&amp;"")),N(K2479)+1,N(K2479))))</f>
        <v>0</v>
      </c>
    </row>
    <row r="2481" customFormat="false" ht="15" hidden="false" customHeight="false" outlineLevel="0" collapsed="false">
      <c r="K2481" s="24" t="n">
        <f aca="false">IF(Search!$B$3="",0,IF($A2481="",N(K2480),IF(ISNUMBER(SEARCH(Search!$B$3,$A2481&amp;"")),N(K2480)+1,N(K2480))))</f>
        <v>0</v>
      </c>
    </row>
    <row r="2482" customFormat="false" ht="15" hidden="false" customHeight="false" outlineLevel="0" collapsed="false">
      <c r="K2482" s="24" t="n">
        <f aca="false">IF(Search!$B$3="",0,IF($A2482="",N(K2481),IF(ISNUMBER(SEARCH(Search!$B$3,$A2482&amp;"")),N(K2481)+1,N(K2481))))</f>
        <v>0</v>
      </c>
    </row>
    <row r="2483" customFormat="false" ht="15" hidden="false" customHeight="false" outlineLevel="0" collapsed="false">
      <c r="K2483" s="24" t="n">
        <f aca="false">IF(Search!$B$3="",0,IF($A2483="",N(K2482),IF(ISNUMBER(SEARCH(Search!$B$3,$A2483&amp;"")),N(K2482)+1,N(K2482))))</f>
        <v>0</v>
      </c>
    </row>
    <row r="2484" customFormat="false" ht="15" hidden="false" customHeight="false" outlineLevel="0" collapsed="false">
      <c r="K2484" s="24" t="n">
        <f aca="false">IF(Search!$B$3="",0,IF($A2484="",N(K2483),IF(ISNUMBER(SEARCH(Search!$B$3,$A2484&amp;"")),N(K2483)+1,N(K2483))))</f>
        <v>0</v>
      </c>
    </row>
    <row r="2485" customFormat="false" ht="15" hidden="false" customHeight="false" outlineLevel="0" collapsed="false">
      <c r="K2485" s="24" t="n">
        <f aca="false">IF(Search!$B$3="",0,IF($A2485="",N(K2484),IF(ISNUMBER(SEARCH(Search!$B$3,$A2485&amp;"")),N(K2484)+1,N(K2484))))</f>
        <v>0</v>
      </c>
    </row>
    <row r="2486" customFormat="false" ht="15" hidden="false" customHeight="false" outlineLevel="0" collapsed="false">
      <c r="K2486" s="24" t="n">
        <f aca="false">IF(Search!$B$3="",0,IF($A2486="",N(K2485),IF(ISNUMBER(SEARCH(Search!$B$3,$A2486&amp;"")),N(K2485)+1,N(K2485))))</f>
        <v>0</v>
      </c>
    </row>
    <row r="2487" customFormat="false" ht="15" hidden="false" customHeight="false" outlineLevel="0" collapsed="false">
      <c r="K2487" s="24" t="n">
        <f aca="false">IF(Search!$B$3="",0,IF($A2487="",N(K2486),IF(ISNUMBER(SEARCH(Search!$B$3,$A2487&amp;"")),N(K2486)+1,N(K2486))))</f>
        <v>0</v>
      </c>
    </row>
    <row r="2488" customFormat="false" ht="15" hidden="false" customHeight="false" outlineLevel="0" collapsed="false">
      <c r="K2488" s="24" t="n">
        <f aca="false">IF(Search!$B$3="",0,IF($A2488="",N(K2487),IF(ISNUMBER(SEARCH(Search!$B$3,$A2488&amp;"")),N(K2487)+1,N(K2487))))</f>
        <v>0</v>
      </c>
    </row>
    <row r="2489" customFormat="false" ht="15" hidden="false" customHeight="false" outlineLevel="0" collapsed="false">
      <c r="K2489" s="24" t="n">
        <f aca="false">IF(Search!$B$3="",0,IF($A2489="",N(K2488),IF(ISNUMBER(SEARCH(Search!$B$3,$A2489&amp;"")),N(K2488)+1,N(K2488))))</f>
        <v>0</v>
      </c>
    </row>
    <row r="2490" customFormat="false" ht="15" hidden="false" customHeight="false" outlineLevel="0" collapsed="false">
      <c r="K2490" s="24" t="n">
        <f aca="false">IF(Search!$B$3="",0,IF($A2490="",N(K2489),IF(ISNUMBER(SEARCH(Search!$B$3,$A2490&amp;"")),N(K2489)+1,N(K2489))))</f>
        <v>0</v>
      </c>
    </row>
    <row r="2491" customFormat="false" ht="15" hidden="false" customHeight="false" outlineLevel="0" collapsed="false">
      <c r="K2491" s="24" t="n">
        <f aca="false">IF(Search!$B$3="",0,IF($A2491="",N(K2490),IF(ISNUMBER(SEARCH(Search!$B$3,$A2491&amp;"")),N(K2490)+1,N(K2490))))</f>
        <v>0</v>
      </c>
    </row>
    <row r="2492" customFormat="false" ht="15" hidden="false" customHeight="false" outlineLevel="0" collapsed="false">
      <c r="K2492" s="24" t="n">
        <f aca="false">IF(Search!$B$3="",0,IF($A2492="",N(K2491),IF(ISNUMBER(SEARCH(Search!$B$3,$A2492&amp;"")),N(K2491)+1,N(K2491))))</f>
        <v>0</v>
      </c>
    </row>
    <row r="2493" customFormat="false" ht="15" hidden="false" customHeight="false" outlineLevel="0" collapsed="false">
      <c r="K2493" s="24" t="n">
        <f aca="false">IF(Search!$B$3="",0,IF($A2493="",N(K2492),IF(ISNUMBER(SEARCH(Search!$B$3,$A2493&amp;"")),N(K2492)+1,N(K2492))))</f>
        <v>0</v>
      </c>
    </row>
    <row r="2494" customFormat="false" ht="15" hidden="false" customHeight="false" outlineLevel="0" collapsed="false">
      <c r="K2494" s="24" t="n">
        <f aca="false">IF(Search!$B$3="",0,IF($A2494="",N(K2493),IF(ISNUMBER(SEARCH(Search!$B$3,$A2494&amp;"")),N(K2493)+1,N(K2493))))</f>
        <v>0</v>
      </c>
    </row>
    <row r="2495" customFormat="false" ht="15" hidden="false" customHeight="false" outlineLevel="0" collapsed="false">
      <c r="K2495" s="24" t="n">
        <f aca="false">IF(Search!$B$3="",0,IF($A2495="",N(K2494),IF(ISNUMBER(SEARCH(Search!$B$3,$A2495&amp;"")),N(K2494)+1,N(K2494))))</f>
        <v>0</v>
      </c>
    </row>
    <row r="2496" customFormat="false" ht="15" hidden="false" customHeight="false" outlineLevel="0" collapsed="false">
      <c r="K2496" s="24" t="n">
        <f aca="false">IF(Search!$B$3="",0,IF($A2496="",N(K2495),IF(ISNUMBER(SEARCH(Search!$B$3,$A2496&amp;"")),N(K2495)+1,N(K2495))))</f>
        <v>0</v>
      </c>
    </row>
    <row r="2497" customFormat="false" ht="15" hidden="false" customHeight="false" outlineLevel="0" collapsed="false">
      <c r="K2497" s="24" t="n">
        <f aca="false">IF(Search!$B$3="",0,IF($A2497="",N(K2496),IF(ISNUMBER(SEARCH(Search!$B$3,$A2497&amp;"")),N(K2496)+1,N(K2496))))</f>
        <v>0</v>
      </c>
    </row>
    <row r="2498" customFormat="false" ht="15" hidden="false" customHeight="false" outlineLevel="0" collapsed="false">
      <c r="K2498" s="24" t="n">
        <f aca="false">IF(Search!$B$3="",0,IF($A2498="",N(K2497),IF(ISNUMBER(SEARCH(Search!$B$3,$A2498&amp;"")),N(K2497)+1,N(K2497))))</f>
        <v>0</v>
      </c>
    </row>
    <row r="2499" customFormat="false" ht="15" hidden="false" customHeight="false" outlineLevel="0" collapsed="false">
      <c r="K2499" s="24" t="n">
        <f aca="false">IF(Search!$B$3="",0,IF($A2499="",N(K2498),IF(ISNUMBER(SEARCH(Search!$B$3,$A2499&amp;"")),N(K2498)+1,N(K2498))))</f>
        <v>0</v>
      </c>
    </row>
    <row r="2500" customFormat="false" ht="15" hidden="false" customHeight="false" outlineLevel="0" collapsed="false">
      <c r="K2500" s="24" t="n">
        <f aca="false">IF(Search!$B$3="",0,IF($A2500="",N(K2499),IF(ISNUMBER(SEARCH(Search!$B$3,$A2500&amp;"")),N(K2499)+1,N(K2499))))</f>
        <v>0</v>
      </c>
    </row>
    <row r="2501" customFormat="false" ht="15" hidden="false" customHeight="false" outlineLevel="0" collapsed="false">
      <c r="K2501" s="24" t="n">
        <f aca="false">IF(Search!$B$3="",0,IF($A2501="",N(K2500),IF(ISNUMBER(SEARCH(Search!$B$3,$A2501&amp;"")),N(K2500)+1,N(K2500))))</f>
        <v>0</v>
      </c>
    </row>
    <row r="2502" customFormat="false" ht="15" hidden="false" customHeight="false" outlineLevel="0" collapsed="false">
      <c r="K2502" s="24" t="n">
        <f aca="false">IF(Search!$B$3="",0,IF($A2502="",N(K2501),IF(ISNUMBER(SEARCH(Search!$B$3,$A2502&amp;"")),N(K2501)+1,N(K2501))))</f>
        <v>0</v>
      </c>
    </row>
    <row r="2503" customFormat="false" ht="15" hidden="false" customHeight="false" outlineLevel="0" collapsed="false">
      <c r="K2503" s="24" t="n">
        <f aca="false">IF(Search!$B$3="",0,IF($A2503="",N(K2502),IF(ISNUMBER(SEARCH(Search!$B$3,$A2503&amp;"")),N(K2502)+1,N(K2502))))</f>
        <v>0</v>
      </c>
    </row>
    <row r="2504" customFormat="false" ht="15" hidden="false" customHeight="false" outlineLevel="0" collapsed="false">
      <c r="K2504" s="24" t="n">
        <f aca="false">IF(Search!$B$3="",0,IF($A2504="",N(K2503),IF(ISNUMBER(SEARCH(Search!$B$3,$A2504&amp;"")),N(K2503)+1,N(K2503))))</f>
        <v>0</v>
      </c>
    </row>
    <row r="2505" customFormat="false" ht="15" hidden="false" customHeight="false" outlineLevel="0" collapsed="false">
      <c r="K2505" s="24" t="n">
        <f aca="false">IF(Search!$B$3="",0,IF($A2505="",N(K2504),IF(ISNUMBER(SEARCH(Search!$B$3,$A2505&amp;"")),N(K2504)+1,N(K2504))))</f>
        <v>0</v>
      </c>
    </row>
    <row r="2506" customFormat="false" ht="15" hidden="false" customHeight="false" outlineLevel="0" collapsed="false">
      <c r="K2506" s="24" t="n">
        <f aca="false">IF(Search!$B$3="",0,IF($A2506="",N(K2505),IF(ISNUMBER(SEARCH(Search!$B$3,$A2506&amp;"")),N(K2505)+1,N(K2505))))</f>
        <v>0</v>
      </c>
    </row>
    <row r="2507" customFormat="false" ht="15" hidden="false" customHeight="false" outlineLevel="0" collapsed="false">
      <c r="K2507" s="24" t="n">
        <f aca="false">IF(Search!$B$3="",0,IF($A2507="",N(K2506),IF(ISNUMBER(SEARCH(Search!$B$3,$A2507&amp;"")),N(K2506)+1,N(K2506))))</f>
        <v>0</v>
      </c>
    </row>
    <row r="2508" customFormat="false" ht="15" hidden="false" customHeight="false" outlineLevel="0" collapsed="false">
      <c r="K2508" s="24" t="n">
        <f aca="false">IF(Search!$B$3="",0,IF($A2508="",N(K2507),IF(ISNUMBER(SEARCH(Search!$B$3,$A2508&amp;"")),N(K2507)+1,N(K2507))))</f>
        <v>0</v>
      </c>
    </row>
    <row r="2509" customFormat="false" ht="15" hidden="false" customHeight="false" outlineLevel="0" collapsed="false">
      <c r="K2509" s="24" t="n">
        <f aca="false">IF(Search!$B$3="",0,IF($A2509="",N(K2508),IF(ISNUMBER(SEARCH(Search!$B$3,$A2509&amp;"")),N(K2508)+1,N(K2508))))</f>
        <v>0</v>
      </c>
    </row>
    <row r="2510" customFormat="false" ht="15" hidden="false" customHeight="false" outlineLevel="0" collapsed="false">
      <c r="K2510" s="24" t="n">
        <f aca="false">IF(Search!$B$3="",0,IF($A2510="",N(K2509),IF(ISNUMBER(SEARCH(Search!$B$3,$A2510&amp;"")),N(K2509)+1,N(K2509))))</f>
        <v>0</v>
      </c>
    </row>
    <row r="2511" customFormat="false" ht="15" hidden="false" customHeight="false" outlineLevel="0" collapsed="false">
      <c r="K2511" s="24" t="n">
        <f aca="false">IF(Search!$B$3="",0,IF($A2511="",N(K2510),IF(ISNUMBER(SEARCH(Search!$B$3,$A2511&amp;"")),N(K2510)+1,N(K2510))))</f>
        <v>0</v>
      </c>
    </row>
    <row r="2512" customFormat="false" ht="15" hidden="false" customHeight="false" outlineLevel="0" collapsed="false">
      <c r="K2512" s="24" t="n">
        <f aca="false">IF(Search!$B$3="",0,IF($A2512="",N(K2511),IF(ISNUMBER(SEARCH(Search!$B$3,$A2512&amp;"")),N(K2511)+1,N(K2511))))</f>
        <v>0</v>
      </c>
    </row>
    <row r="2513" customFormat="false" ht="15" hidden="false" customHeight="false" outlineLevel="0" collapsed="false">
      <c r="K2513" s="24" t="n">
        <f aca="false">IF(Search!$B$3="",0,IF($A2513="",N(K2512),IF(ISNUMBER(SEARCH(Search!$B$3,$A2513&amp;"")),N(K2512)+1,N(K2512))))</f>
        <v>0</v>
      </c>
    </row>
    <row r="2514" customFormat="false" ht="15" hidden="false" customHeight="false" outlineLevel="0" collapsed="false">
      <c r="K2514" s="24" t="n">
        <f aca="false">IF(Search!$B$3="",0,IF($A2514="",N(K2513),IF(ISNUMBER(SEARCH(Search!$B$3,$A2514&amp;"")),N(K2513)+1,N(K2513))))</f>
        <v>0</v>
      </c>
    </row>
    <row r="2515" customFormat="false" ht="15" hidden="false" customHeight="false" outlineLevel="0" collapsed="false">
      <c r="K2515" s="24" t="n">
        <f aca="false">IF(Search!$B$3="",0,IF($A2515="",N(K2514),IF(ISNUMBER(SEARCH(Search!$B$3,$A2515&amp;"")),N(K2514)+1,N(K2514))))</f>
        <v>0</v>
      </c>
    </row>
    <row r="2516" customFormat="false" ht="15" hidden="false" customHeight="false" outlineLevel="0" collapsed="false">
      <c r="K2516" s="24" t="n">
        <f aca="false">IF(Search!$B$3="",0,IF($A2516="",N(K2515),IF(ISNUMBER(SEARCH(Search!$B$3,$A2516&amp;"")),N(K2515)+1,N(K2515))))</f>
        <v>0</v>
      </c>
    </row>
    <row r="2517" customFormat="false" ht="15" hidden="false" customHeight="false" outlineLevel="0" collapsed="false">
      <c r="K2517" s="24" t="n">
        <f aca="false">IF(Search!$B$3="",0,IF($A2517="",N(K2516),IF(ISNUMBER(SEARCH(Search!$B$3,$A2517&amp;"")),N(K2516)+1,N(K2516))))</f>
        <v>0</v>
      </c>
    </row>
    <row r="2518" customFormat="false" ht="15" hidden="false" customHeight="false" outlineLevel="0" collapsed="false">
      <c r="K2518" s="24" t="n">
        <f aca="false">IF(Search!$B$3="",0,IF($A2518="",N(K2517),IF(ISNUMBER(SEARCH(Search!$B$3,$A2518&amp;"")),N(K2517)+1,N(K2517))))</f>
        <v>0</v>
      </c>
    </row>
    <row r="2519" customFormat="false" ht="15" hidden="false" customHeight="false" outlineLevel="0" collapsed="false">
      <c r="K2519" s="24" t="n">
        <f aca="false">IF(Search!$B$3="",0,IF($A2519="",N(K2518),IF(ISNUMBER(SEARCH(Search!$B$3,$A2519&amp;"")),N(K2518)+1,N(K2518))))</f>
        <v>0</v>
      </c>
    </row>
    <row r="2520" customFormat="false" ht="15" hidden="false" customHeight="false" outlineLevel="0" collapsed="false">
      <c r="K2520" s="24" t="n">
        <f aca="false">IF(Search!$B$3="",0,IF($A2520="",N(K2519),IF(ISNUMBER(SEARCH(Search!$B$3,$A2520&amp;"")),N(K2519)+1,N(K2519))))</f>
        <v>0</v>
      </c>
    </row>
    <row r="2521" customFormat="false" ht="15" hidden="false" customHeight="false" outlineLevel="0" collapsed="false">
      <c r="K2521" s="24" t="n">
        <f aca="false">IF(Search!$B$3="",0,IF($A2521="",N(K2520),IF(ISNUMBER(SEARCH(Search!$B$3,$A2521&amp;"")),N(K2520)+1,N(K2520))))</f>
        <v>0</v>
      </c>
    </row>
    <row r="2522" customFormat="false" ht="15" hidden="false" customHeight="false" outlineLevel="0" collapsed="false">
      <c r="K2522" s="24" t="n">
        <f aca="false">IF(Search!$B$3="",0,IF($A2522="",N(K2521),IF(ISNUMBER(SEARCH(Search!$B$3,$A2522&amp;"")),N(K2521)+1,N(K2521))))</f>
        <v>0</v>
      </c>
    </row>
    <row r="2523" customFormat="false" ht="15" hidden="false" customHeight="false" outlineLevel="0" collapsed="false">
      <c r="K2523" s="24" t="n">
        <f aca="false">IF(Search!$B$3="",0,IF($A2523="",N(K2522),IF(ISNUMBER(SEARCH(Search!$B$3,$A2523&amp;"")),N(K2522)+1,N(K2522))))</f>
        <v>0</v>
      </c>
    </row>
    <row r="2524" customFormat="false" ht="15" hidden="false" customHeight="false" outlineLevel="0" collapsed="false">
      <c r="K2524" s="24" t="n">
        <f aca="false">IF(Search!$B$3="",0,IF($A2524="",N(K2523),IF(ISNUMBER(SEARCH(Search!$B$3,$A2524&amp;"")),N(K2523)+1,N(K2523))))</f>
        <v>0</v>
      </c>
    </row>
    <row r="2525" customFormat="false" ht="15" hidden="false" customHeight="false" outlineLevel="0" collapsed="false">
      <c r="K2525" s="24" t="n">
        <f aca="false">IF(Search!$B$3="",0,IF($A2525="",N(K2524),IF(ISNUMBER(SEARCH(Search!$B$3,$A2525&amp;"")),N(K2524)+1,N(K2524))))</f>
        <v>0</v>
      </c>
    </row>
    <row r="2526" customFormat="false" ht="15" hidden="false" customHeight="false" outlineLevel="0" collapsed="false">
      <c r="K2526" s="24" t="n">
        <f aca="false">IF(Search!$B$3="",0,IF($A2526="",N(K2525),IF(ISNUMBER(SEARCH(Search!$B$3,$A2526&amp;"")),N(K2525)+1,N(K2525))))</f>
        <v>0</v>
      </c>
    </row>
    <row r="2527" customFormat="false" ht="15" hidden="false" customHeight="false" outlineLevel="0" collapsed="false">
      <c r="K2527" s="24" t="n">
        <f aca="false">IF(Search!$B$3="",0,IF($A2527="",N(K2526),IF(ISNUMBER(SEARCH(Search!$B$3,$A2527&amp;"")),N(K2526)+1,N(K2526))))</f>
        <v>0</v>
      </c>
    </row>
    <row r="2528" customFormat="false" ht="15" hidden="false" customHeight="false" outlineLevel="0" collapsed="false">
      <c r="K2528" s="24" t="n">
        <f aca="false">IF(Search!$B$3="",0,IF($A2528="",N(K2527),IF(ISNUMBER(SEARCH(Search!$B$3,$A2528&amp;"")),N(K2527)+1,N(K2527))))</f>
        <v>0</v>
      </c>
    </row>
    <row r="2529" customFormat="false" ht="15" hidden="false" customHeight="false" outlineLevel="0" collapsed="false">
      <c r="K2529" s="24" t="n">
        <f aca="false">IF(Search!$B$3="",0,IF($A2529="",N(K2528),IF(ISNUMBER(SEARCH(Search!$B$3,$A2529&amp;"")),N(K2528)+1,N(K2528))))</f>
        <v>0</v>
      </c>
    </row>
    <row r="2530" customFormat="false" ht="15" hidden="false" customHeight="false" outlineLevel="0" collapsed="false">
      <c r="K2530" s="24" t="n">
        <f aca="false">IF(Search!$B$3="",0,IF($A2530="",N(K2529),IF(ISNUMBER(SEARCH(Search!$B$3,$A2530&amp;"")),N(K2529)+1,N(K2529))))</f>
        <v>0</v>
      </c>
    </row>
    <row r="2531" customFormat="false" ht="15" hidden="false" customHeight="false" outlineLevel="0" collapsed="false">
      <c r="K2531" s="24" t="n">
        <f aca="false">IF(Search!$B$3="",0,IF($A2531="",N(K2530),IF(ISNUMBER(SEARCH(Search!$B$3,$A2531&amp;"")),N(K2530)+1,N(K2530))))</f>
        <v>0</v>
      </c>
    </row>
    <row r="2532" customFormat="false" ht="15" hidden="false" customHeight="false" outlineLevel="0" collapsed="false">
      <c r="K2532" s="24" t="n">
        <f aca="false">IF(Search!$B$3="",0,IF($A2532="",N(K2531),IF(ISNUMBER(SEARCH(Search!$B$3,$A2532&amp;"")),N(K2531)+1,N(K2531))))</f>
        <v>0</v>
      </c>
    </row>
    <row r="2533" customFormat="false" ht="15" hidden="false" customHeight="false" outlineLevel="0" collapsed="false">
      <c r="K2533" s="24" t="n">
        <f aca="false">IF(Search!$B$3="",0,IF($A2533="",N(K2532),IF(ISNUMBER(SEARCH(Search!$B$3,$A2533&amp;"")),N(K2532)+1,N(K2532))))</f>
        <v>0</v>
      </c>
    </row>
    <row r="2534" customFormat="false" ht="15" hidden="false" customHeight="false" outlineLevel="0" collapsed="false">
      <c r="K2534" s="24" t="n">
        <f aca="false">IF(Search!$B$3="",0,IF($A2534="",N(K2533),IF(ISNUMBER(SEARCH(Search!$B$3,$A2534&amp;"")),N(K2533)+1,N(K2533))))</f>
        <v>0</v>
      </c>
    </row>
    <row r="2535" customFormat="false" ht="15" hidden="false" customHeight="false" outlineLevel="0" collapsed="false">
      <c r="K2535" s="24" t="n">
        <f aca="false">IF(Search!$B$3="",0,IF($A2535="",N(K2534),IF(ISNUMBER(SEARCH(Search!$B$3,$A2535&amp;"")),N(K2534)+1,N(K2534))))</f>
        <v>0</v>
      </c>
    </row>
    <row r="2536" customFormat="false" ht="15" hidden="false" customHeight="false" outlineLevel="0" collapsed="false">
      <c r="K2536" s="24" t="n">
        <f aca="false">IF(Search!$B$3="",0,IF($A2536="",N(K2535),IF(ISNUMBER(SEARCH(Search!$B$3,$A2536&amp;"")),N(K2535)+1,N(K2535))))</f>
        <v>0</v>
      </c>
    </row>
    <row r="2537" customFormat="false" ht="15" hidden="false" customHeight="false" outlineLevel="0" collapsed="false">
      <c r="K2537" s="24" t="n">
        <f aca="false">IF(Search!$B$3="",0,IF($A2537="",N(K2536),IF(ISNUMBER(SEARCH(Search!$B$3,$A2537&amp;"")),N(K2536)+1,N(K2536))))</f>
        <v>0</v>
      </c>
    </row>
    <row r="2538" customFormat="false" ht="15" hidden="false" customHeight="false" outlineLevel="0" collapsed="false">
      <c r="K2538" s="24" t="n">
        <f aca="false">IF(Search!$B$3="",0,IF($A2538="",N(K2537),IF(ISNUMBER(SEARCH(Search!$B$3,$A2538&amp;"")),N(K2537)+1,N(K2537))))</f>
        <v>0</v>
      </c>
    </row>
    <row r="2539" customFormat="false" ht="15" hidden="false" customHeight="false" outlineLevel="0" collapsed="false">
      <c r="K2539" s="24" t="n">
        <f aca="false">IF(Search!$B$3="",0,IF($A2539="",N(K2538),IF(ISNUMBER(SEARCH(Search!$B$3,$A2539&amp;"")),N(K2538)+1,N(K2538))))</f>
        <v>0</v>
      </c>
    </row>
    <row r="2540" customFormat="false" ht="15" hidden="false" customHeight="false" outlineLevel="0" collapsed="false">
      <c r="K2540" s="24" t="n">
        <f aca="false">IF(Search!$B$3="",0,IF($A2540="",N(K2539),IF(ISNUMBER(SEARCH(Search!$B$3,$A2540&amp;"")),N(K2539)+1,N(K2539))))</f>
        <v>0</v>
      </c>
    </row>
    <row r="2541" customFormat="false" ht="15" hidden="false" customHeight="false" outlineLevel="0" collapsed="false">
      <c r="K2541" s="24" t="n">
        <f aca="false">IF(Search!$B$3="",0,IF($A2541="",N(K2540),IF(ISNUMBER(SEARCH(Search!$B$3,$A2541&amp;"")),N(K2540)+1,N(K2540))))</f>
        <v>0</v>
      </c>
    </row>
    <row r="2542" customFormat="false" ht="15" hidden="false" customHeight="false" outlineLevel="0" collapsed="false">
      <c r="K2542" s="24" t="n">
        <f aca="false">IF(Search!$B$3="",0,IF($A2542="",N(K2541),IF(ISNUMBER(SEARCH(Search!$B$3,$A2542&amp;"")),N(K2541)+1,N(K2541))))</f>
        <v>0</v>
      </c>
    </row>
    <row r="2543" customFormat="false" ht="15" hidden="false" customHeight="false" outlineLevel="0" collapsed="false">
      <c r="K2543" s="24" t="n">
        <f aca="false">IF(Search!$B$3="",0,IF($A2543="",N(K2542),IF(ISNUMBER(SEARCH(Search!$B$3,$A2543&amp;"")),N(K2542)+1,N(K2542))))</f>
        <v>0</v>
      </c>
    </row>
    <row r="2544" customFormat="false" ht="15" hidden="false" customHeight="false" outlineLevel="0" collapsed="false">
      <c r="K2544" s="24" t="n">
        <f aca="false">IF(Search!$B$3="",0,IF($A2544="",N(K2543),IF(ISNUMBER(SEARCH(Search!$B$3,$A2544&amp;"")),N(K2543)+1,N(K2543))))</f>
        <v>0</v>
      </c>
    </row>
    <row r="2545" customFormat="false" ht="15" hidden="false" customHeight="false" outlineLevel="0" collapsed="false">
      <c r="K2545" s="24" t="n">
        <f aca="false">IF(Search!$B$3="",0,IF($A2545="",N(K2544),IF(ISNUMBER(SEARCH(Search!$B$3,$A2545&amp;"")),N(K2544)+1,N(K2544))))</f>
        <v>0</v>
      </c>
    </row>
    <row r="2546" customFormat="false" ht="15" hidden="false" customHeight="false" outlineLevel="0" collapsed="false">
      <c r="K2546" s="24" t="n">
        <f aca="false">IF(Search!$B$3="",0,IF($A2546="",N(K2545),IF(ISNUMBER(SEARCH(Search!$B$3,$A2546&amp;"")),N(K2545)+1,N(K2545))))</f>
        <v>0</v>
      </c>
    </row>
    <row r="2547" customFormat="false" ht="15" hidden="false" customHeight="false" outlineLevel="0" collapsed="false">
      <c r="K2547" s="24" t="n">
        <f aca="false">IF(Search!$B$3="",0,IF($A2547="",N(K2546),IF(ISNUMBER(SEARCH(Search!$B$3,$A2547&amp;"")),N(K2546)+1,N(K2546))))</f>
        <v>0</v>
      </c>
    </row>
    <row r="2548" customFormat="false" ht="15" hidden="false" customHeight="false" outlineLevel="0" collapsed="false">
      <c r="K2548" s="24" t="n">
        <f aca="false">IF(Search!$B$3="",0,IF($A2548="",N(K2547),IF(ISNUMBER(SEARCH(Search!$B$3,$A2548&amp;"")),N(K2547)+1,N(K2547))))</f>
        <v>0</v>
      </c>
    </row>
    <row r="2549" customFormat="false" ht="15" hidden="false" customHeight="false" outlineLevel="0" collapsed="false">
      <c r="K2549" s="24" t="n">
        <f aca="false">IF(Search!$B$3="",0,IF($A2549="",N(K2548),IF(ISNUMBER(SEARCH(Search!$B$3,$A2549&amp;"")),N(K2548)+1,N(K2548))))</f>
        <v>0</v>
      </c>
    </row>
    <row r="2550" customFormat="false" ht="15" hidden="false" customHeight="false" outlineLevel="0" collapsed="false">
      <c r="K2550" s="24" t="n">
        <f aca="false">IF(Search!$B$3="",0,IF($A2550="",N(K2549),IF(ISNUMBER(SEARCH(Search!$B$3,$A2550&amp;"")),N(K2549)+1,N(K2549))))</f>
        <v>0</v>
      </c>
    </row>
    <row r="2551" customFormat="false" ht="15" hidden="false" customHeight="false" outlineLevel="0" collapsed="false">
      <c r="K2551" s="24" t="n">
        <f aca="false">IF(Search!$B$3="",0,IF($A2551="",N(K2550),IF(ISNUMBER(SEARCH(Search!$B$3,$A2551&amp;"")),N(K2550)+1,N(K2550))))</f>
        <v>0</v>
      </c>
    </row>
    <row r="2552" customFormat="false" ht="15" hidden="false" customHeight="false" outlineLevel="0" collapsed="false">
      <c r="K2552" s="24" t="n">
        <f aca="false">IF(Search!$B$3="",0,IF($A2552="",N(K2551),IF(ISNUMBER(SEARCH(Search!$B$3,$A2552&amp;"")),N(K2551)+1,N(K2551))))</f>
        <v>0</v>
      </c>
    </row>
    <row r="2553" customFormat="false" ht="15" hidden="false" customHeight="false" outlineLevel="0" collapsed="false">
      <c r="K2553" s="24" t="n">
        <f aca="false">IF(Search!$B$3="",0,IF($A2553="",N(K2552),IF(ISNUMBER(SEARCH(Search!$B$3,$A2553&amp;"")),N(K2552)+1,N(K2552))))</f>
        <v>0</v>
      </c>
    </row>
    <row r="2554" customFormat="false" ht="15" hidden="false" customHeight="false" outlineLevel="0" collapsed="false">
      <c r="K2554" s="24" t="n">
        <f aca="false">IF(Search!$B$3="",0,IF($A2554="",N(K2553),IF(ISNUMBER(SEARCH(Search!$B$3,$A2554&amp;"")),N(K2553)+1,N(K2553))))</f>
        <v>0</v>
      </c>
    </row>
    <row r="2555" customFormat="false" ht="15" hidden="false" customHeight="false" outlineLevel="0" collapsed="false">
      <c r="K2555" s="24" t="n">
        <f aca="false">IF(Search!$B$3="",0,IF($A2555="",N(K2554),IF(ISNUMBER(SEARCH(Search!$B$3,$A2555&amp;"")),N(K2554)+1,N(K2554))))</f>
        <v>0</v>
      </c>
    </row>
    <row r="2556" customFormat="false" ht="15" hidden="false" customHeight="false" outlineLevel="0" collapsed="false">
      <c r="K2556" s="24" t="n">
        <f aca="false">IF(Search!$B$3="",0,IF($A2556="",N(K2555),IF(ISNUMBER(SEARCH(Search!$B$3,$A2556&amp;"")),N(K2555)+1,N(K2555))))</f>
        <v>0</v>
      </c>
    </row>
    <row r="2557" customFormat="false" ht="15" hidden="false" customHeight="false" outlineLevel="0" collapsed="false">
      <c r="K2557" s="24" t="n">
        <f aca="false">IF(Search!$B$3="",0,IF($A2557="",N(K2556),IF(ISNUMBER(SEARCH(Search!$B$3,$A2557&amp;"")),N(K2556)+1,N(K2556))))</f>
        <v>0</v>
      </c>
    </row>
    <row r="2558" customFormat="false" ht="15" hidden="false" customHeight="false" outlineLevel="0" collapsed="false">
      <c r="K2558" s="24" t="n">
        <f aca="false">IF(Search!$B$3="",0,IF($A2558="",N(K2557),IF(ISNUMBER(SEARCH(Search!$B$3,$A2558&amp;"")),N(K2557)+1,N(K2557))))</f>
        <v>0</v>
      </c>
    </row>
    <row r="2559" customFormat="false" ht="15" hidden="false" customHeight="false" outlineLevel="0" collapsed="false">
      <c r="K2559" s="24" t="n">
        <f aca="false">IF(Search!$B$3="",0,IF($A2559="",N(K2558),IF(ISNUMBER(SEARCH(Search!$B$3,$A2559&amp;"")),N(K2558)+1,N(K2558))))</f>
        <v>0</v>
      </c>
    </row>
    <row r="2560" customFormat="false" ht="15" hidden="false" customHeight="false" outlineLevel="0" collapsed="false">
      <c r="K2560" s="24" t="n">
        <f aca="false">IF(Search!$B$3="",0,IF($A2560="",N(K2559),IF(ISNUMBER(SEARCH(Search!$B$3,$A2560&amp;"")),N(K2559)+1,N(K2559))))</f>
        <v>0</v>
      </c>
    </row>
    <row r="2561" customFormat="false" ht="15" hidden="false" customHeight="false" outlineLevel="0" collapsed="false">
      <c r="K2561" s="24" t="n">
        <f aca="false">IF(Search!$B$3="",0,IF($A2561="",N(K2560),IF(ISNUMBER(SEARCH(Search!$B$3,$A2561&amp;"")),N(K2560)+1,N(K2560))))</f>
        <v>0</v>
      </c>
    </row>
    <row r="2562" customFormat="false" ht="15" hidden="false" customHeight="false" outlineLevel="0" collapsed="false">
      <c r="K2562" s="24" t="n">
        <f aca="false">IF(Search!$B$3="",0,IF($A2562="",N(K2561),IF(ISNUMBER(SEARCH(Search!$B$3,$A2562&amp;"")),N(K2561)+1,N(K2561))))</f>
        <v>0</v>
      </c>
    </row>
    <row r="2563" customFormat="false" ht="15" hidden="false" customHeight="false" outlineLevel="0" collapsed="false">
      <c r="K2563" s="24" t="n">
        <f aca="false">IF(Search!$B$3="",0,IF($A2563="",N(K2562),IF(ISNUMBER(SEARCH(Search!$B$3,$A2563&amp;"")),N(K2562)+1,N(K2562))))</f>
        <v>0</v>
      </c>
    </row>
    <row r="2564" customFormat="false" ht="15" hidden="false" customHeight="false" outlineLevel="0" collapsed="false">
      <c r="K2564" s="24" t="n">
        <f aca="false">IF(Search!$B$3="",0,IF($A2564="",N(K2563),IF(ISNUMBER(SEARCH(Search!$B$3,$A2564&amp;"")),N(K2563)+1,N(K2563))))</f>
        <v>0</v>
      </c>
    </row>
    <row r="2565" customFormat="false" ht="15" hidden="false" customHeight="false" outlineLevel="0" collapsed="false">
      <c r="K2565" s="24" t="n">
        <f aca="false">IF(Search!$B$3="",0,IF($A2565="",N(K2564),IF(ISNUMBER(SEARCH(Search!$B$3,$A2565&amp;"")),N(K2564)+1,N(K2564))))</f>
        <v>0</v>
      </c>
    </row>
    <row r="2566" customFormat="false" ht="15" hidden="false" customHeight="false" outlineLevel="0" collapsed="false">
      <c r="K2566" s="24" t="n">
        <f aca="false">IF(Search!$B$3="",0,IF($A2566="",N(K2565),IF(ISNUMBER(SEARCH(Search!$B$3,$A2566&amp;"")),N(K2565)+1,N(K2565))))</f>
        <v>0</v>
      </c>
    </row>
    <row r="2567" customFormat="false" ht="15" hidden="false" customHeight="false" outlineLevel="0" collapsed="false">
      <c r="K2567" s="24" t="n">
        <f aca="false">IF(Search!$B$3="",0,IF($A2567="",N(K2566),IF(ISNUMBER(SEARCH(Search!$B$3,$A2567&amp;"")),N(K2566)+1,N(K2566))))</f>
        <v>0</v>
      </c>
    </row>
    <row r="2568" customFormat="false" ht="15" hidden="false" customHeight="false" outlineLevel="0" collapsed="false">
      <c r="K2568" s="24" t="n">
        <f aca="false">IF(Search!$B$3="",0,IF($A2568="",N(K2567),IF(ISNUMBER(SEARCH(Search!$B$3,$A2568&amp;"")),N(K2567)+1,N(K2567))))</f>
        <v>0</v>
      </c>
    </row>
    <row r="2569" customFormat="false" ht="15" hidden="false" customHeight="false" outlineLevel="0" collapsed="false">
      <c r="K2569" s="24" t="n">
        <f aca="false">IF(Search!$B$3="",0,IF($A2569="",N(K2568),IF(ISNUMBER(SEARCH(Search!$B$3,$A2569&amp;"")),N(K2568)+1,N(K2568))))</f>
        <v>0</v>
      </c>
    </row>
    <row r="2570" customFormat="false" ht="15" hidden="false" customHeight="false" outlineLevel="0" collapsed="false">
      <c r="K2570" s="24" t="n">
        <f aca="false">IF(Search!$B$3="",0,IF($A2570="",N(K2569),IF(ISNUMBER(SEARCH(Search!$B$3,$A2570&amp;"")),N(K2569)+1,N(K2569))))</f>
        <v>0</v>
      </c>
    </row>
    <row r="2571" customFormat="false" ht="15" hidden="false" customHeight="false" outlineLevel="0" collapsed="false">
      <c r="K2571" s="24" t="n">
        <f aca="false">IF(Search!$B$3="",0,IF($A2571="",N(K2570),IF(ISNUMBER(SEARCH(Search!$B$3,$A2571&amp;"")),N(K2570)+1,N(K2570))))</f>
        <v>0</v>
      </c>
    </row>
    <row r="2572" customFormat="false" ht="15" hidden="false" customHeight="false" outlineLevel="0" collapsed="false">
      <c r="K2572" s="24" t="n">
        <f aca="false">IF(Search!$B$3="",0,IF($A2572="",N(K2571),IF(ISNUMBER(SEARCH(Search!$B$3,$A2572&amp;"")),N(K2571)+1,N(K2571))))</f>
        <v>0</v>
      </c>
    </row>
    <row r="2573" customFormat="false" ht="15" hidden="false" customHeight="false" outlineLevel="0" collapsed="false">
      <c r="K2573" s="24" t="n">
        <f aca="false">IF(Search!$B$3="",0,IF($A2573="",N(K2572),IF(ISNUMBER(SEARCH(Search!$B$3,$A2573&amp;"")),N(K2572)+1,N(K2572))))</f>
        <v>0</v>
      </c>
    </row>
    <row r="2574" customFormat="false" ht="15" hidden="false" customHeight="false" outlineLevel="0" collapsed="false">
      <c r="K2574" s="24" t="n">
        <f aca="false">IF(Search!$B$3="",0,IF($A2574="",N(K2573),IF(ISNUMBER(SEARCH(Search!$B$3,$A2574&amp;"")),N(K2573)+1,N(K2573))))</f>
        <v>0</v>
      </c>
    </row>
    <row r="2575" customFormat="false" ht="15" hidden="false" customHeight="false" outlineLevel="0" collapsed="false">
      <c r="K2575" s="24" t="n">
        <f aca="false">IF(Search!$B$3="",0,IF($A2575="",N(K2574),IF(ISNUMBER(SEARCH(Search!$B$3,$A2575&amp;"")),N(K2574)+1,N(K2574))))</f>
        <v>0</v>
      </c>
    </row>
    <row r="2576" customFormat="false" ht="15" hidden="false" customHeight="false" outlineLevel="0" collapsed="false">
      <c r="K2576" s="24" t="n">
        <f aca="false">IF(Search!$B$3="",0,IF($A2576="",N(K2575),IF(ISNUMBER(SEARCH(Search!$B$3,$A2576&amp;"")),N(K2575)+1,N(K2575))))</f>
        <v>0</v>
      </c>
    </row>
    <row r="2577" customFormat="false" ht="15" hidden="false" customHeight="false" outlineLevel="0" collapsed="false">
      <c r="K2577" s="24" t="n">
        <f aca="false">IF(Search!$B$3="",0,IF($A2577="",N(K2576),IF(ISNUMBER(SEARCH(Search!$B$3,$A2577&amp;"")),N(K2576)+1,N(K2576))))</f>
        <v>0</v>
      </c>
    </row>
    <row r="2578" customFormat="false" ht="15" hidden="false" customHeight="false" outlineLevel="0" collapsed="false">
      <c r="K2578" s="24" t="n">
        <f aca="false">IF(Search!$B$3="",0,IF($A2578="",N(K2577),IF(ISNUMBER(SEARCH(Search!$B$3,$A2578&amp;"")),N(K2577)+1,N(K2577))))</f>
        <v>0</v>
      </c>
    </row>
    <row r="2579" customFormat="false" ht="15" hidden="false" customHeight="false" outlineLevel="0" collapsed="false">
      <c r="K2579" s="24" t="n">
        <f aca="false">IF(Search!$B$3="",0,IF($A2579="",N(K2578),IF(ISNUMBER(SEARCH(Search!$B$3,$A2579&amp;"")),N(K2578)+1,N(K2578))))</f>
        <v>0</v>
      </c>
    </row>
    <row r="2580" customFormat="false" ht="15" hidden="false" customHeight="false" outlineLevel="0" collapsed="false">
      <c r="K2580" s="24" t="n">
        <f aca="false">IF(Search!$B$3="",0,IF($A2580="",N(K2579),IF(ISNUMBER(SEARCH(Search!$B$3,$A2580&amp;"")),N(K2579)+1,N(K2579))))</f>
        <v>0</v>
      </c>
    </row>
    <row r="2581" customFormat="false" ht="15" hidden="false" customHeight="false" outlineLevel="0" collapsed="false">
      <c r="K2581" s="24" t="n">
        <f aca="false">IF(Search!$B$3="",0,IF($A2581="",N(K2580),IF(ISNUMBER(SEARCH(Search!$B$3,$A2581&amp;"")),N(K2580)+1,N(K2580))))</f>
        <v>0</v>
      </c>
    </row>
    <row r="2582" customFormat="false" ht="15" hidden="false" customHeight="false" outlineLevel="0" collapsed="false">
      <c r="K2582" s="24" t="n">
        <f aca="false">IF(Search!$B$3="",0,IF($A2582="",N(K2581),IF(ISNUMBER(SEARCH(Search!$B$3,$A2582&amp;"")),N(K2581)+1,N(K2581))))</f>
        <v>0</v>
      </c>
    </row>
    <row r="2583" customFormat="false" ht="15" hidden="false" customHeight="false" outlineLevel="0" collapsed="false">
      <c r="K2583" s="24" t="n">
        <f aca="false">IF(Search!$B$3="",0,IF($A2583="",N(K2582),IF(ISNUMBER(SEARCH(Search!$B$3,$A2583&amp;"")),N(K2582)+1,N(K2582))))</f>
        <v>0</v>
      </c>
    </row>
    <row r="2584" customFormat="false" ht="15" hidden="false" customHeight="false" outlineLevel="0" collapsed="false">
      <c r="K2584" s="24" t="n">
        <f aca="false">IF(Search!$B$3="",0,IF($A2584="",N(K2583),IF(ISNUMBER(SEARCH(Search!$B$3,$A2584&amp;"")),N(K2583)+1,N(K2583))))</f>
        <v>0</v>
      </c>
    </row>
    <row r="2585" customFormat="false" ht="15" hidden="false" customHeight="false" outlineLevel="0" collapsed="false">
      <c r="K2585" s="24" t="n">
        <f aca="false">IF(Search!$B$3="",0,IF($A2585="",N(K2584),IF(ISNUMBER(SEARCH(Search!$B$3,$A2585&amp;"")),N(K2584)+1,N(K2584))))</f>
        <v>0</v>
      </c>
    </row>
    <row r="2586" customFormat="false" ht="15" hidden="false" customHeight="false" outlineLevel="0" collapsed="false">
      <c r="K2586" s="24" t="n">
        <f aca="false">IF(Search!$B$3="",0,IF($A2586="",N(K2585),IF(ISNUMBER(SEARCH(Search!$B$3,$A2586&amp;"")),N(K2585)+1,N(K2585))))</f>
        <v>0</v>
      </c>
    </row>
    <row r="2587" customFormat="false" ht="15" hidden="false" customHeight="false" outlineLevel="0" collapsed="false">
      <c r="K2587" s="24" t="n">
        <f aca="false">IF(Search!$B$3="",0,IF($A2587="",N(K2586),IF(ISNUMBER(SEARCH(Search!$B$3,$A2587&amp;"")),N(K2586)+1,N(K2586))))</f>
        <v>0</v>
      </c>
    </row>
    <row r="2588" customFormat="false" ht="15" hidden="false" customHeight="false" outlineLevel="0" collapsed="false">
      <c r="K2588" s="24" t="n">
        <f aca="false">IF(Search!$B$3="",0,IF($A2588="",N(K2587),IF(ISNUMBER(SEARCH(Search!$B$3,$A2588&amp;"")),N(K2587)+1,N(K2587))))</f>
        <v>0</v>
      </c>
    </row>
    <row r="2589" customFormat="false" ht="15" hidden="false" customHeight="false" outlineLevel="0" collapsed="false">
      <c r="K2589" s="24" t="n">
        <f aca="false">IF(Search!$B$3="",0,IF($A2589="",N(K2588),IF(ISNUMBER(SEARCH(Search!$B$3,$A2589&amp;"")),N(K2588)+1,N(K2588))))</f>
        <v>0</v>
      </c>
    </row>
    <row r="2590" customFormat="false" ht="15" hidden="false" customHeight="false" outlineLevel="0" collapsed="false">
      <c r="K2590" s="24" t="n">
        <f aca="false">IF(Search!$B$3="",0,IF($A2590="",N(K2589),IF(ISNUMBER(SEARCH(Search!$B$3,$A2590&amp;"")),N(K2589)+1,N(K2589))))</f>
        <v>0</v>
      </c>
    </row>
    <row r="2591" customFormat="false" ht="15" hidden="false" customHeight="false" outlineLevel="0" collapsed="false">
      <c r="K2591" s="24" t="n">
        <f aca="false">IF(Search!$B$3="",0,IF($A2591="",N(K2590),IF(ISNUMBER(SEARCH(Search!$B$3,$A2591&amp;"")),N(K2590)+1,N(K2590))))</f>
        <v>0</v>
      </c>
    </row>
    <row r="2592" customFormat="false" ht="15" hidden="false" customHeight="false" outlineLevel="0" collapsed="false">
      <c r="K2592" s="24" t="n">
        <f aca="false">IF(Search!$B$3="",0,IF($A2592="",N(K2591),IF(ISNUMBER(SEARCH(Search!$B$3,$A2592&amp;"")),N(K2591)+1,N(K2591))))</f>
        <v>0</v>
      </c>
    </row>
    <row r="2593" customFormat="false" ht="15" hidden="false" customHeight="false" outlineLevel="0" collapsed="false">
      <c r="K2593" s="24" t="n">
        <f aca="false">IF(Search!$B$3="",0,IF($A2593="",N(K2592),IF(ISNUMBER(SEARCH(Search!$B$3,$A2593&amp;"")),N(K2592)+1,N(K2592))))</f>
        <v>0</v>
      </c>
    </row>
    <row r="2594" customFormat="false" ht="15" hidden="false" customHeight="false" outlineLevel="0" collapsed="false">
      <c r="K2594" s="24" t="n">
        <f aca="false">IF(Search!$B$3="",0,IF($A2594="",N(K2593),IF(ISNUMBER(SEARCH(Search!$B$3,$A2594&amp;"")),N(K2593)+1,N(K2593))))</f>
        <v>0</v>
      </c>
    </row>
    <row r="2595" customFormat="false" ht="15" hidden="false" customHeight="false" outlineLevel="0" collapsed="false">
      <c r="K2595" s="24" t="n">
        <f aca="false">IF(Search!$B$3="",0,IF($A2595="",N(K2594),IF(ISNUMBER(SEARCH(Search!$B$3,$A2595&amp;"")),N(K2594)+1,N(K2594))))</f>
        <v>0</v>
      </c>
    </row>
    <row r="2596" customFormat="false" ht="15" hidden="false" customHeight="false" outlineLevel="0" collapsed="false">
      <c r="K2596" s="24" t="n">
        <f aca="false">IF(Search!$B$3="",0,IF($A2596="",N(K2595),IF(ISNUMBER(SEARCH(Search!$B$3,$A2596&amp;"")),N(K2595)+1,N(K2595))))</f>
        <v>0</v>
      </c>
    </row>
    <row r="2597" customFormat="false" ht="15" hidden="false" customHeight="false" outlineLevel="0" collapsed="false">
      <c r="K2597" s="24" t="n">
        <f aca="false">IF(Search!$B$3="",0,IF($A2597="",N(K2596),IF(ISNUMBER(SEARCH(Search!$B$3,$A2597&amp;"")),N(K2596)+1,N(K2596))))</f>
        <v>0</v>
      </c>
    </row>
    <row r="2598" customFormat="false" ht="15" hidden="false" customHeight="false" outlineLevel="0" collapsed="false">
      <c r="K2598" s="24" t="n">
        <f aca="false">IF(Search!$B$3="",0,IF($A2598="",N(K2597),IF(ISNUMBER(SEARCH(Search!$B$3,$A2598&amp;"")),N(K2597)+1,N(K2597))))</f>
        <v>0</v>
      </c>
    </row>
    <row r="2599" customFormat="false" ht="15" hidden="false" customHeight="false" outlineLevel="0" collapsed="false">
      <c r="K2599" s="24" t="n">
        <f aca="false">IF(Search!$B$3="",0,IF($A2599="",N(K2598),IF(ISNUMBER(SEARCH(Search!$B$3,$A2599&amp;"")),N(K2598)+1,N(K2598))))</f>
        <v>0</v>
      </c>
    </row>
    <row r="2600" customFormat="false" ht="15" hidden="false" customHeight="false" outlineLevel="0" collapsed="false">
      <c r="K2600" s="24" t="n">
        <f aca="false">IF(Search!$B$3="",0,IF($A2600="",N(K2599),IF(ISNUMBER(SEARCH(Search!$B$3,$A2600&amp;"")),N(K2599)+1,N(K2599))))</f>
        <v>0</v>
      </c>
    </row>
    <row r="2601" customFormat="false" ht="15" hidden="false" customHeight="false" outlineLevel="0" collapsed="false">
      <c r="K2601" s="24" t="n">
        <f aca="false">IF(Search!$B$3="",0,IF($A2601="",N(K2600),IF(ISNUMBER(SEARCH(Search!$B$3,$A2601&amp;"")),N(K2600)+1,N(K2600))))</f>
        <v>0</v>
      </c>
    </row>
    <row r="2602" customFormat="false" ht="15" hidden="false" customHeight="false" outlineLevel="0" collapsed="false">
      <c r="K2602" s="24" t="n">
        <f aca="false">IF(Search!$B$3="",0,IF($A2602="",N(K2601),IF(ISNUMBER(SEARCH(Search!$B$3,$A2602&amp;"")),N(K2601)+1,N(K2601))))</f>
        <v>0</v>
      </c>
    </row>
    <row r="2603" customFormat="false" ht="15" hidden="false" customHeight="false" outlineLevel="0" collapsed="false">
      <c r="K2603" s="24" t="n">
        <f aca="false">IF(Search!$B$3="",0,IF($A2603="",N(K2602),IF(ISNUMBER(SEARCH(Search!$B$3,$A2603&amp;"")),N(K2602)+1,N(K2602))))</f>
        <v>0</v>
      </c>
    </row>
    <row r="2604" customFormat="false" ht="15" hidden="false" customHeight="false" outlineLevel="0" collapsed="false">
      <c r="K2604" s="24" t="n">
        <f aca="false">IF(Search!$B$3="",0,IF($A2604="",N(K2603),IF(ISNUMBER(SEARCH(Search!$B$3,$A2604&amp;"")),N(K2603)+1,N(K2603))))</f>
        <v>0</v>
      </c>
    </row>
    <row r="2605" customFormat="false" ht="15" hidden="false" customHeight="false" outlineLevel="0" collapsed="false">
      <c r="K2605" s="24" t="n">
        <f aca="false">IF(Search!$B$3="",0,IF($A2605="",N(K2604),IF(ISNUMBER(SEARCH(Search!$B$3,$A2605&amp;"")),N(K2604)+1,N(K2604))))</f>
        <v>0</v>
      </c>
    </row>
    <row r="2606" customFormat="false" ht="15" hidden="false" customHeight="false" outlineLevel="0" collapsed="false">
      <c r="K2606" s="24" t="n">
        <f aca="false">IF(Search!$B$3="",0,IF($A2606="",N(K2605),IF(ISNUMBER(SEARCH(Search!$B$3,$A2606&amp;"")),N(K2605)+1,N(K2605))))</f>
        <v>0</v>
      </c>
    </row>
    <row r="2607" customFormat="false" ht="15" hidden="false" customHeight="false" outlineLevel="0" collapsed="false">
      <c r="K2607" s="24" t="n">
        <f aca="false">IF(Search!$B$3="",0,IF($A2607="",N(K2606),IF(ISNUMBER(SEARCH(Search!$B$3,$A2607&amp;"")),N(K2606)+1,N(K2606))))</f>
        <v>0</v>
      </c>
    </row>
    <row r="2608" customFormat="false" ht="15" hidden="false" customHeight="false" outlineLevel="0" collapsed="false">
      <c r="K2608" s="24" t="n">
        <f aca="false">IF(Search!$B$3="",0,IF($A2608="",N(K2607),IF(ISNUMBER(SEARCH(Search!$B$3,$A2608&amp;"")),N(K2607)+1,N(K2607))))</f>
        <v>0</v>
      </c>
    </row>
    <row r="2609" customFormat="false" ht="15" hidden="false" customHeight="false" outlineLevel="0" collapsed="false">
      <c r="K2609" s="24" t="n">
        <f aca="false">IF(Search!$B$3="",0,IF($A2609="",N(K2608),IF(ISNUMBER(SEARCH(Search!$B$3,$A2609&amp;"")),N(K2608)+1,N(K2608))))</f>
        <v>0</v>
      </c>
    </row>
    <row r="2610" customFormat="false" ht="15" hidden="false" customHeight="false" outlineLevel="0" collapsed="false">
      <c r="K2610" s="24" t="n">
        <f aca="false">IF(Search!$B$3="",0,IF($A2610="",N(K2609),IF(ISNUMBER(SEARCH(Search!$B$3,$A2610&amp;"")),N(K2609)+1,N(K2609))))</f>
        <v>0</v>
      </c>
    </row>
    <row r="2611" customFormat="false" ht="15" hidden="false" customHeight="false" outlineLevel="0" collapsed="false">
      <c r="K2611" s="24" t="n">
        <f aca="false">IF(Search!$B$3="",0,IF($A2611="",N(K2610),IF(ISNUMBER(SEARCH(Search!$B$3,$A2611&amp;"")),N(K2610)+1,N(K2610))))</f>
        <v>0</v>
      </c>
    </row>
    <row r="2612" customFormat="false" ht="15" hidden="false" customHeight="false" outlineLevel="0" collapsed="false">
      <c r="K2612" s="24" t="n">
        <f aca="false">IF(Search!$B$3="",0,IF($A2612="",N(K2611),IF(ISNUMBER(SEARCH(Search!$B$3,$A2612&amp;"")),N(K2611)+1,N(K2611))))</f>
        <v>0</v>
      </c>
    </row>
    <row r="2613" customFormat="false" ht="15" hidden="false" customHeight="false" outlineLevel="0" collapsed="false">
      <c r="K2613" s="24" t="n">
        <f aca="false">IF(Search!$B$3="",0,IF($A2613="",N(K2612),IF(ISNUMBER(SEARCH(Search!$B$3,$A2613&amp;"")),N(K2612)+1,N(K2612))))</f>
        <v>0</v>
      </c>
    </row>
    <row r="2614" customFormat="false" ht="15" hidden="false" customHeight="false" outlineLevel="0" collapsed="false">
      <c r="K2614" s="24" t="n">
        <f aca="false">IF(Search!$B$3="",0,IF($A2614="",N(K2613),IF(ISNUMBER(SEARCH(Search!$B$3,$A2614&amp;"")),N(K2613)+1,N(K2613))))</f>
        <v>0</v>
      </c>
    </row>
    <row r="2615" customFormat="false" ht="15" hidden="false" customHeight="false" outlineLevel="0" collapsed="false">
      <c r="K2615" s="24" t="n">
        <f aca="false">IF(Search!$B$3="",0,IF($A2615="",N(K2614),IF(ISNUMBER(SEARCH(Search!$B$3,$A2615&amp;"")),N(K2614)+1,N(K2614))))</f>
        <v>0</v>
      </c>
    </row>
    <row r="2616" customFormat="false" ht="15" hidden="false" customHeight="false" outlineLevel="0" collapsed="false">
      <c r="K2616" s="24" t="n">
        <f aca="false">IF(Search!$B$3="",0,IF($A2616="",N(K2615),IF(ISNUMBER(SEARCH(Search!$B$3,$A2616&amp;"")),N(K2615)+1,N(K2615))))</f>
        <v>0</v>
      </c>
    </row>
    <row r="2617" customFormat="false" ht="15" hidden="false" customHeight="false" outlineLevel="0" collapsed="false">
      <c r="K2617" s="24" t="n">
        <f aca="false">IF(Search!$B$3="",0,IF($A2617="",N(K2616),IF(ISNUMBER(SEARCH(Search!$B$3,$A2617&amp;"")),N(K2616)+1,N(K2616))))</f>
        <v>0</v>
      </c>
    </row>
    <row r="2618" customFormat="false" ht="15" hidden="false" customHeight="false" outlineLevel="0" collapsed="false">
      <c r="K2618" s="24" t="n">
        <f aca="false">IF(Search!$B$3="",0,IF($A2618="",N(K2617),IF(ISNUMBER(SEARCH(Search!$B$3,$A2618&amp;"")),N(K2617)+1,N(K2617))))</f>
        <v>0</v>
      </c>
    </row>
    <row r="2619" customFormat="false" ht="15" hidden="false" customHeight="false" outlineLevel="0" collapsed="false">
      <c r="K2619" s="24" t="n">
        <f aca="false">IF(Search!$B$3="",0,IF($A2619="",N(K2618),IF(ISNUMBER(SEARCH(Search!$B$3,$A2619&amp;"")),N(K2618)+1,N(K2618))))</f>
        <v>0</v>
      </c>
    </row>
    <row r="2620" customFormat="false" ht="15" hidden="false" customHeight="false" outlineLevel="0" collapsed="false">
      <c r="K2620" s="24" t="n">
        <f aca="false">IF(Search!$B$3="",0,IF($A2620="",N(K2619),IF(ISNUMBER(SEARCH(Search!$B$3,$A2620&amp;"")),N(K2619)+1,N(K2619))))</f>
        <v>0</v>
      </c>
    </row>
    <row r="2621" customFormat="false" ht="15" hidden="false" customHeight="false" outlineLevel="0" collapsed="false">
      <c r="K2621" s="24" t="n">
        <f aca="false">IF(Search!$B$3="",0,IF($A2621="",N(K2620),IF(ISNUMBER(SEARCH(Search!$B$3,$A2621&amp;"")),N(K2620)+1,N(K2620))))</f>
        <v>0</v>
      </c>
    </row>
    <row r="2622" customFormat="false" ht="15" hidden="false" customHeight="false" outlineLevel="0" collapsed="false">
      <c r="K2622" s="24" t="n">
        <f aca="false">IF(Search!$B$3="",0,IF($A2622="",N(K2621),IF(ISNUMBER(SEARCH(Search!$B$3,$A2622&amp;"")),N(K2621)+1,N(K2621))))</f>
        <v>0</v>
      </c>
    </row>
    <row r="2623" customFormat="false" ht="15" hidden="false" customHeight="false" outlineLevel="0" collapsed="false">
      <c r="K2623" s="24" t="n">
        <f aca="false">IF(Search!$B$3="",0,IF($A2623="",N(K2622),IF(ISNUMBER(SEARCH(Search!$B$3,$A2623&amp;"")),N(K2622)+1,N(K2622))))</f>
        <v>0</v>
      </c>
    </row>
    <row r="2624" customFormat="false" ht="15" hidden="false" customHeight="false" outlineLevel="0" collapsed="false">
      <c r="K2624" s="24" t="n">
        <f aca="false">IF(Search!$B$3="",0,IF($A2624="",N(K2623),IF(ISNUMBER(SEARCH(Search!$B$3,$A2624&amp;"")),N(K2623)+1,N(K2623))))</f>
        <v>0</v>
      </c>
    </row>
    <row r="2625" customFormat="false" ht="15" hidden="false" customHeight="false" outlineLevel="0" collapsed="false">
      <c r="K2625" s="24" t="n">
        <f aca="false">IF(Search!$B$3="",0,IF($A2625="",N(K2624),IF(ISNUMBER(SEARCH(Search!$B$3,$A2625&amp;"")),N(K2624)+1,N(K2624))))</f>
        <v>0</v>
      </c>
    </row>
    <row r="2626" customFormat="false" ht="15" hidden="false" customHeight="false" outlineLevel="0" collapsed="false">
      <c r="K2626" s="24" t="n">
        <f aca="false">IF(Search!$B$3="",0,IF($A2626="",N(K2625),IF(ISNUMBER(SEARCH(Search!$B$3,$A2626&amp;"")),N(K2625)+1,N(K2625))))</f>
        <v>0</v>
      </c>
    </row>
    <row r="2627" customFormat="false" ht="15" hidden="false" customHeight="false" outlineLevel="0" collapsed="false">
      <c r="K2627" s="24" t="n">
        <f aca="false">IF(Search!$B$3="",0,IF($A2627="",N(K2626),IF(ISNUMBER(SEARCH(Search!$B$3,$A2627&amp;"")),N(K2626)+1,N(K2626))))</f>
        <v>0</v>
      </c>
    </row>
    <row r="2628" customFormat="false" ht="15" hidden="false" customHeight="false" outlineLevel="0" collapsed="false">
      <c r="K2628" s="24" t="n">
        <f aca="false">IF(Search!$B$3="",0,IF($A2628="",N(K2627),IF(ISNUMBER(SEARCH(Search!$B$3,$A2628&amp;"")),N(K2627)+1,N(K2627))))</f>
        <v>0</v>
      </c>
    </row>
    <row r="2629" customFormat="false" ht="15" hidden="false" customHeight="false" outlineLevel="0" collapsed="false">
      <c r="K2629" s="24" t="n">
        <f aca="false">IF(Search!$B$3="",0,IF($A2629="",N(K2628),IF(ISNUMBER(SEARCH(Search!$B$3,$A2629&amp;"")),N(K2628)+1,N(K2628))))</f>
        <v>0</v>
      </c>
    </row>
    <row r="2630" customFormat="false" ht="15" hidden="false" customHeight="false" outlineLevel="0" collapsed="false">
      <c r="K2630" s="24" t="n">
        <f aca="false">IF(Search!$B$3="",0,IF($A2630="",N(K2629),IF(ISNUMBER(SEARCH(Search!$B$3,$A2630&amp;"")),N(K2629)+1,N(K2629))))</f>
        <v>0</v>
      </c>
    </row>
    <row r="2631" customFormat="false" ht="15" hidden="false" customHeight="false" outlineLevel="0" collapsed="false">
      <c r="K2631" s="24" t="n">
        <f aca="false">IF(Search!$B$3="",0,IF($A2631="",N(K2630),IF(ISNUMBER(SEARCH(Search!$B$3,$A2631&amp;"")),N(K2630)+1,N(K2630))))</f>
        <v>0</v>
      </c>
    </row>
    <row r="2632" customFormat="false" ht="15" hidden="false" customHeight="false" outlineLevel="0" collapsed="false">
      <c r="K2632" s="24" t="n">
        <f aca="false">IF(Search!$B$3="",0,IF($A2632="",N(K2631),IF(ISNUMBER(SEARCH(Search!$B$3,$A2632&amp;"")),N(K2631)+1,N(K2631))))</f>
        <v>0</v>
      </c>
    </row>
    <row r="2633" customFormat="false" ht="15" hidden="false" customHeight="false" outlineLevel="0" collapsed="false">
      <c r="K2633" s="24" t="n">
        <f aca="false">IF(Search!$B$3="",0,IF($A2633="",N(K2632),IF(ISNUMBER(SEARCH(Search!$B$3,$A2633&amp;"")),N(K2632)+1,N(K2632))))</f>
        <v>0</v>
      </c>
    </row>
    <row r="2634" customFormat="false" ht="15" hidden="false" customHeight="false" outlineLevel="0" collapsed="false">
      <c r="K2634" s="24" t="n">
        <f aca="false">IF(Search!$B$3="",0,IF($A2634="",N(K2633),IF(ISNUMBER(SEARCH(Search!$B$3,$A2634&amp;"")),N(K2633)+1,N(K2633))))</f>
        <v>0</v>
      </c>
    </row>
    <row r="2635" customFormat="false" ht="15" hidden="false" customHeight="false" outlineLevel="0" collapsed="false">
      <c r="K2635" s="24" t="n">
        <f aca="false">IF(Search!$B$3="",0,IF($A2635="",N(K2634),IF(ISNUMBER(SEARCH(Search!$B$3,$A2635&amp;"")),N(K2634)+1,N(K2634))))</f>
        <v>0</v>
      </c>
    </row>
    <row r="2636" customFormat="false" ht="15" hidden="false" customHeight="false" outlineLevel="0" collapsed="false">
      <c r="K2636" s="24" t="n">
        <f aca="false">IF(Search!$B$3="",0,IF($A2636="",N(K2635),IF(ISNUMBER(SEARCH(Search!$B$3,$A2636&amp;"")),N(K2635)+1,N(K2635))))</f>
        <v>0</v>
      </c>
    </row>
    <row r="2637" customFormat="false" ht="15" hidden="false" customHeight="false" outlineLevel="0" collapsed="false">
      <c r="K2637" s="24" t="n">
        <f aca="false">IF(Search!$B$3="",0,IF($A2637="",N(K2636),IF(ISNUMBER(SEARCH(Search!$B$3,$A2637&amp;"")),N(K2636)+1,N(K2636))))</f>
        <v>0</v>
      </c>
    </row>
    <row r="2638" customFormat="false" ht="15" hidden="false" customHeight="false" outlineLevel="0" collapsed="false">
      <c r="K2638" s="24" t="n">
        <f aca="false">IF(Search!$B$3="",0,IF($A2638="",N(K2637),IF(ISNUMBER(SEARCH(Search!$B$3,$A2638&amp;"")),N(K2637)+1,N(K2637))))</f>
        <v>0</v>
      </c>
    </row>
    <row r="2639" customFormat="false" ht="15" hidden="false" customHeight="false" outlineLevel="0" collapsed="false">
      <c r="K2639" s="24" t="n">
        <f aca="false">IF(Search!$B$3="",0,IF($A2639="",N(K2638),IF(ISNUMBER(SEARCH(Search!$B$3,$A2639&amp;"")),N(K2638)+1,N(K2638))))</f>
        <v>0</v>
      </c>
    </row>
    <row r="2640" customFormat="false" ht="15" hidden="false" customHeight="false" outlineLevel="0" collapsed="false">
      <c r="K2640" s="24" t="n">
        <f aca="false">IF(Search!$B$3="",0,IF($A2640="",N(K2639),IF(ISNUMBER(SEARCH(Search!$B$3,$A2640&amp;"")),N(K2639)+1,N(K2639))))</f>
        <v>0</v>
      </c>
    </row>
    <row r="2641" customFormat="false" ht="15" hidden="false" customHeight="false" outlineLevel="0" collapsed="false">
      <c r="K2641" s="24" t="n">
        <f aca="false">IF(Search!$B$3="",0,IF($A2641="",N(K2640),IF(ISNUMBER(SEARCH(Search!$B$3,$A2641&amp;"")),N(K2640)+1,N(K2640))))</f>
        <v>0</v>
      </c>
    </row>
    <row r="2642" customFormat="false" ht="15" hidden="false" customHeight="false" outlineLevel="0" collapsed="false">
      <c r="K2642" s="24" t="n">
        <f aca="false">IF(Search!$B$3="",0,IF($A2642="",N(K2641),IF(ISNUMBER(SEARCH(Search!$B$3,$A2642&amp;"")),N(K2641)+1,N(K2641))))</f>
        <v>0</v>
      </c>
    </row>
    <row r="2643" customFormat="false" ht="15" hidden="false" customHeight="false" outlineLevel="0" collapsed="false">
      <c r="K2643" s="24" t="n">
        <f aca="false">IF(Search!$B$3="",0,IF($A2643="",N(K2642),IF(ISNUMBER(SEARCH(Search!$B$3,$A2643&amp;"")),N(K2642)+1,N(K2642))))</f>
        <v>0</v>
      </c>
    </row>
    <row r="2644" customFormat="false" ht="15" hidden="false" customHeight="false" outlineLevel="0" collapsed="false">
      <c r="K2644" s="24" t="n">
        <f aca="false">IF(Search!$B$3="",0,IF($A2644="",N(K2643),IF(ISNUMBER(SEARCH(Search!$B$3,$A2644&amp;"")),N(K2643)+1,N(K2643))))</f>
        <v>0</v>
      </c>
    </row>
    <row r="2645" customFormat="false" ht="15" hidden="false" customHeight="false" outlineLevel="0" collapsed="false">
      <c r="K2645" s="24" t="n">
        <f aca="false">IF(Search!$B$3="",0,IF($A2645="",N(K2644),IF(ISNUMBER(SEARCH(Search!$B$3,$A2645&amp;"")),N(K2644)+1,N(K2644))))</f>
        <v>0</v>
      </c>
    </row>
    <row r="2646" customFormat="false" ht="15" hidden="false" customHeight="false" outlineLevel="0" collapsed="false">
      <c r="K2646" s="24" t="n">
        <f aca="false">IF(Search!$B$3="",0,IF($A2646="",N(K2645),IF(ISNUMBER(SEARCH(Search!$B$3,$A2646&amp;"")),N(K2645)+1,N(K2645))))</f>
        <v>0</v>
      </c>
    </row>
    <row r="2647" customFormat="false" ht="15" hidden="false" customHeight="false" outlineLevel="0" collapsed="false">
      <c r="K2647" s="24" t="n">
        <f aca="false">IF(Search!$B$3="",0,IF($A2647="",N(K2646),IF(ISNUMBER(SEARCH(Search!$B$3,$A2647&amp;"")),N(K2646)+1,N(K2646))))</f>
        <v>0</v>
      </c>
    </row>
    <row r="2648" customFormat="false" ht="15" hidden="false" customHeight="false" outlineLevel="0" collapsed="false">
      <c r="K2648" s="24" t="n">
        <f aca="false">IF(Search!$B$3="",0,IF($A2648="",N(K2647),IF(ISNUMBER(SEARCH(Search!$B$3,$A2648&amp;"")),N(K2647)+1,N(K2647))))</f>
        <v>0</v>
      </c>
    </row>
    <row r="2649" customFormat="false" ht="15" hidden="false" customHeight="false" outlineLevel="0" collapsed="false">
      <c r="K2649" s="24" t="n">
        <f aca="false">IF(Search!$B$3="",0,IF($A2649="",N(K2648),IF(ISNUMBER(SEARCH(Search!$B$3,$A2649&amp;"")),N(K2648)+1,N(K2648))))</f>
        <v>0</v>
      </c>
    </row>
    <row r="2650" customFormat="false" ht="15" hidden="false" customHeight="false" outlineLevel="0" collapsed="false">
      <c r="K2650" s="24" t="n">
        <f aca="false">IF(Search!$B$3="",0,IF($A2650="",N(K2649),IF(ISNUMBER(SEARCH(Search!$B$3,$A2650&amp;"")),N(K2649)+1,N(K2649))))</f>
        <v>0</v>
      </c>
    </row>
    <row r="2651" customFormat="false" ht="15" hidden="false" customHeight="false" outlineLevel="0" collapsed="false">
      <c r="K2651" s="24" t="n">
        <f aca="false">IF(Search!$B$3="",0,IF($A2651="",N(K2650),IF(ISNUMBER(SEARCH(Search!$B$3,$A2651&amp;"")),N(K2650)+1,N(K2650))))</f>
        <v>0</v>
      </c>
    </row>
    <row r="2652" customFormat="false" ht="15" hidden="false" customHeight="false" outlineLevel="0" collapsed="false">
      <c r="K2652" s="24" t="n">
        <f aca="false">IF(Search!$B$3="",0,IF($A2652="",N(K2651),IF(ISNUMBER(SEARCH(Search!$B$3,$A2652&amp;"")),N(K2651)+1,N(K2651))))</f>
        <v>0</v>
      </c>
    </row>
    <row r="2653" customFormat="false" ht="15" hidden="false" customHeight="false" outlineLevel="0" collapsed="false">
      <c r="K2653" s="24" t="n">
        <f aca="false">IF(Search!$B$3="",0,IF($A2653="",N(K2652),IF(ISNUMBER(SEARCH(Search!$B$3,$A2653&amp;"")),N(K2652)+1,N(K2652))))</f>
        <v>0</v>
      </c>
    </row>
    <row r="2654" customFormat="false" ht="15" hidden="false" customHeight="false" outlineLevel="0" collapsed="false">
      <c r="K2654" s="24" t="n">
        <f aca="false">IF(Search!$B$3="",0,IF($A2654="",N(K2653),IF(ISNUMBER(SEARCH(Search!$B$3,$A2654&amp;"")),N(K2653)+1,N(K2653))))</f>
        <v>0</v>
      </c>
    </row>
    <row r="2655" customFormat="false" ht="15" hidden="false" customHeight="false" outlineLevel="0" collapsed="false">
      <c r="K2655" s="24" t="n">
        <f aca="false">IF(Search!$B$3="",0,IF($A2655="",N(K2654),IF(ISNUMBER(SEARCH(Search!$B$3,$A2655&amp;"")),N(K2654)+1,N(K2654))))</f>
        <v>0</v>
      </c>
    </row>
    <row r="2656" customFormat="false" ht="15" hidden="false" customHeight="false" outlineLevel="0" collapsed="false">
      <c r="K2656" s="24" t="n">
        <f aca="false">IF(Search!$B$3="",0,IF($A2656="",N(K2655),IF(ISNUMBER(SEARCH(Search!$B$3,$A2656&amp;"")),N(K2655)+1,N(K2655))))</f>
        <v>0</v>
      </c>
    </row>
    <row r="2657" customFormat="false" ht="15" hidden="false" customHeight="false" outlineLevel="0" collapsed="false">
      <c r="K2657" s="24" t="n">
        <f aca="false">IF(Search!$B$3="",0,IF($A2657="",N(K2656),IF(ISNUMBER(SEARCH(Search!$B$3,$A2657&amp;"")),N(K2656)+1,N(K2656))))</f>
        <v>0</v>
      </c>
    </row>
    <row r="2658" customFormat="false" ht="15" hidden="false" customHeight="false" outlineLevel="0" collapsed="false">
      <c r="K2658" s="24" t="n">
        <f aca="false">IF(Search!$B$3="",0,IF($A2658="",N(K2657),IF(ISNUMBER(SEARCH(Search!$B$3,$A2658&amp;"")),N(K2657)+1,N(K2657))))</f>
        <v>0</v>
      </c>
    </row>
    <row r="2659" customFormat="false" ht="15" hidden="false" customHeight="false" outlineLevel="0" collapsed="false">
      <c r="K2659" s="24" t="n">
        <f aca="false">IF(Search!$B$3="",0,IF($A2659="",N(K2658),IF(ISNUMBER(SEARCH(Search!$B$3,$A2659&amp;"")),N(K2658)+1,N(K2658))))</f>
        <v>0</v>
      </c>
    </row>
    <row r="2660" customFormat="false" ht="15" hidden="false" customHeight="false" outlineLevel="0" collapsed="false">
      <c r="K2660" s="24" t="n">
        <f aca="false">IF(Search!$B$3="",0,IF($A2660="",N(K2659),IF(ISNUMBER(SEARCH(Search!$B$3,$A2660&amp;"")),N(K2659)+1,N(K2659))))</f>
        <v>0</v>
      </c>
    </row>
    <row r="2661" customFormat="false" ht="15" hidden="false" customHeight="false" outlineLevel="0" collapsed="false">
      <c r="K2661" s="24" t="n">
        <f aca="false">IF(Search!$B$3="",0,IF($A2661="",N(K2660),IF(ISNUMBER(SEARCH(Search!$B$3,$A2661&amp;"")),N(K2660)+1,N(K2660))))</f>
        <v>0</v>
      </c>
    </row>
    <row r="2662" customFormat="false" ht="15" hidden="false" customHeight="false" outlineLevel="0" collapsed="false">
      <c r="K2662" s="24" t="n">
        <f aca="false">IF(Search!$B$3="",0,IF($A2662="",N(K2661),IF(ISNUMBER(SEARCH(Search!$B$3,$A2662&amp;"")),N(K2661)+1,N(K2661))))</f>
        <v>0</v>
      </c>
    </row>
    <row r="2663" customFormat="false" ht="15" hidden="false" customHeight="false" outlineLevel="0" collapsed="false">
      <c r="K2663" s="24" t="n">
        <f aca="false">IF(Search!$B$3="",0,IF($A2663="",N(K2662),IF(ISNUMBER(SEARCH(Search!$B$3,$A2663&amp;"")),N(K2662)+1,N(K2662))))</f>
        <v>0</v>
      </c>
    </row>
    <row r="2664" customFormat="false" ht="15" hidden="false" customHeight="false" outlineLevel="0" collapsed="false">
      <c r="K2664" s="24" t="n">
        <f aca="false">IF(Search!$B$3="",0,IF($A2664="",N(K2663),IF(ISNUMBER(SEARCH(Search!$B$3,$A2664&amp;"")),N(K2663)+1,N(K2663))))</f>
        <v>0</v>
      </c>
    </row>
    <row r="2665" customFormat="false" ht="15" hidden="false" customHeight="false" outlineLevel="0" collapsed="false">
      <c r="K2665" s="24" t="n">
        <f aca="false">IF(Search!$B$3="",0,IF($A2665="",N(K2664),IF(ISNUMBER(SEARCH(Search!$B$3,$A2665&amp;"")),N(K2664)+1,N(K2664))))</f>
        <v>0</v>
      </c>
    </row>
    <row r="2666" customFormat="false" ht="15" hidden="false" customHeight="false" outlineLevel="0" collapsed="false">
      <c r="K2666" s="24" t="n">
        <f aca="false">IF(Search!$B$3="",0,IF($A2666="",N(K2665),IF(ISNUMBER(SEARCH(Search!$B$3,$A2666&amp;"")),N(K2665)+1,N(K2665))))</f>
        <v>0</v>
      </c>
    </row>
    <row r="2667" customFormat="false" ht="15" hidden="false" customHeight="false" outlineLevel="0" collapsed="false">
      <c r="K2667" s="24" t="n">
        <f aca="false">IF(Search!$B$3="",0,IF($A2667="",N(K2666),IF(ISNUMBER(SEARCH(Search!$B$3,$A2667&amp;"")),N(K2666)+1,N(K2666))))</f>
        <v>0</v>
      </c>
    </row>
    <row r="2668" customFormat="false" ht="15" hidden="false" customHeight="false" outlineLevel="0" collapsed="false">
      <c r="K2668" s="24" t="n">
        <f aca="false">IF(Search!$B$3="",0,IF($A2668="",N(K2667),IF(ISNUMBER(SEARCH(Search!$B$3,$A2668&amp;"")),N(K2667)+1,N(K2667))))</f>
        <v>0</v>
      </c>
    </row>
    <row r="2669" customFormat="false" ht="15" hidden="false" customHeight="false" outlineLevel="0" collapsed="false">
      <c r="K2669" s="24" t="n">
        <f aca="false">IF(Search!$B$3="",0,IF($A2669="",N(K2668),IF(ISNUMBER(SEARCH(Search!$B$3,$A2669&amp;"")),N(K2668)+1,N(K2668))))</f>
        <v>0</v>
      </c>
    </row>
    <row r="2670" customFormat="false" ht="15" hidden="false" customHeight="false" outlineLevel="0" collapsed="false">
      <c r="K2670" s="24" t="n">
        <f aca="false">IF(Search!$B$3="",0,IF($A2670="",N(K2669),IF(ISNUMBER(SEARCH(Search!$B$3,$A2670&amp;"")),N(K2669)+1,N(K2669))))</f>
        <v>0</v>
      </c>
    </row>
    <row r="2671" customFormat="false" ht="15" hidden="false" customHeight="false" outlineLevel="0" collapsed="false">
      <c r="K2671" s="24" t="n">
        <f aca="false">IF(Search!$B$3="",0,IF($A2671="",N(K2670),IF(ISNUMBER(SEARCH(Search!$B$3,$A2671&amp;"")),N(K2670)+1,N(K2670))))</f>
        <v>0</v>
      </c>
    </row>
    <row r="2672" customFormat="false" ht="15" hidden="false" customHeight="false" outlineLevel="0" collapsed="false">
      <c r="K2672" s="24" t="n">
        <f aca="false">IF(Search!$B$3="",0,IF($A2672="",N(K2671),IF(ISNUMBER(SEARCH(Search!$B$3,$A2672&amp;"")),N(K2671)+1,N(K2671))))</f>
        <v>0</v>
      </c>
    </row>
    <row r="2673" customFormat="false" ht="15" hidden="false" customHeight="false" outlineLevel="0" collapsed="false">
      <c r="K2673" s="24" t="n">
        <f aca="false">IF(Search!$B$3="",0,IF($A2673="",N(K2672),IF(ISNUMBER(SEARCH(Search!$B$3,$A2673&amp;"")),N(K2672)+1,N(K2672))))</f>
        <v>0</v>
      </c>
    </row>
    <row r="2674" customFormat="false" ht="15" hidden="false" customHeight="false" outlineLevel="0" collapsed="false">
      <c r="K2674" s="24" t="n">
        <f aca="false">IF(Search!$B$3="",0,IF($A2674="",N(K2673),IF(ISNUMBER(SEARCH(Search!$B$3,$A2674&amp;"")),N(K2673)+1,N(K2673))))</f>
        <v>0</v>
      </c>
    </row>
    <row r="2675" customFormat="false" ht="15" hidden="false" customHeight="false" outlineLevel="0" collapsed="false">
      <c r="K2675" s="24" t="n">
        <f aca="false">IF(Search!$B$3="",0,IF($A2675="",N(K2674),IF(ISNUMBER(SEARCH(Search!$B$3,$A2675&amp;"")),N(K2674)+1,N(K2674))))</f>
        <v>0</v>
      </c>
    </row>
    <row r="2676" customFormat="false" ht="15" hidden="false" customHeight="false" outlineLevel="0" collapsed="false">
      <c r="K2676" s="24" t="n">
        <f aca="false">IF(Search!$B$3="",0,IF($A2676="",N(K2675),IF(ISNUMBER(SEARCH(Search!$B$3,$A2676&amp;"")),N(K2675)+1,N(K2675))))</f>
        <v>0</v>
      </c>
    </row>
    <row r="2677" customFormat="false" ht="15" hidden="false" customHeight="false" outlineLevel="0" collapsed="false">
      <c r="K2677" s="24" t="n">
        <f aca="false">IF(Search!$B$3="",0,IF($A2677="",N(K2676),IF(ISNUMBER(SEARCH(Search!$B$3,$A2677&amp;"")),N(K2676)+1,N(K2676))))</f>
        <v>0</v>
      </c>
    </row>
    <row r="2678" customFormat="false" ht="15" hidden="false" customHeight="false" outlineLevel="0" collapsed="false">
      <c r="K2678" s="24" t="n">
        <f aca="false">IF(Search!$B$3="",0,IF($A2678="",N(K2677),IF(ISNUMBER(SEARCH(Search!$B$3,$A2678&amp;"")),N(K2677)+1,N(K2677))))</f>
        <v>0</v>
      </c>
    </row>
    <row r="2679" customFormat="false" ht="15" hidden="false" customHeight="false" outlineLevel="0" collapsed="false">
      <c r="K2679" s="24" t="n">
        <f aca="false">IF(Search!$B$3="",0,IF($A2679="",N(K2678),IF(ISNUMBER(SEARCH(Search!$B$3,$A2679&amp;"")),N(K2678)+1,N(K2678))))</f>
        <v>0</v>
      </c>
    </row>
    <row r="2680" customFormat="false" ht="15" hidden="false" customHeight="false" outlineLevel="0" collapsed="false">
      <c r="K2680" s="24" t="n">
        <f aca="false">IF(Search!$B$3="",0,IF($A2680="",N(K2679),IF(ISNUMBER(SEARCH(Search!$B$3,$A2680&amp;"")),N(K2679)+1,N(K2679))))</f>
        <v>0</v>
      </c>
    </row>
    <row r="2681" customFormat="false" ht="15" hidden="false" customHeight="false" outlineLevel="0" collapsed="false">
      <c r="K2681" s="24" t="n">
        <f aca="false">IF(Search!$B$3="",0,IF($A2681="",N(K2680),IF(ISNUMBER(SEARCH(Search!$B$3,$A2681&amp;"")),N(K2680)+1,N(K2680))))</f>
        <v>0</v>
      </c>
    </row>
    <row r="2682" customFormat="false" ht="15" hidden="false" customHeight="false" outlineLevel="0" collapsed="false">
      <c r="K2682" s="24" t="n">
        <f aca="false">IF(Search!$B$3="",0,IF($A2682="",N(K2681),IF(ISNUMBER(SEARCH(Search!$B$3,$A2682&amp;"")),N(K2681)+1,N(K2681))))</f>
        <v>0</v>
      </c>
    </row>
    <row r="2683" customFormat="false" ht="15" hidden="false" customHeight="false" outlineLevel="0" collapsed="false">
      <c r="K2683" s="24" t="n">
        <f aca="false">IF(Search!$B$3="",0,IF($A2683="",N(K2682),IF(ISNUMBER(SEARCH(Search!$B$3,$A2683&amp;"")),N(K2682)+1,N(K2682))))</f>
        <v>0</v>
      </c>
    </row>
    <row r="2684" customFormat="false" ht="15" hidden="false" customHeight="false" outlineLevel="0" collapsed="false">
      <c r="K2684" s="24" t="n">
        <f aca="false">IF(Search!$B$3="",0,IF($A2684="",N(K2683),IF(ISNUMBER(SEARCH(Search!$B$3,$A2684&amp;"")),N(K2683)+1,N(K2683))))</f>
        <v>0</v>
      </c>
    </row>
    <row r="2685" customFormat="false" ht="15" hidden="false" customHeight="false" outlineLevel="0" collapsed="false">
      <c r="K2685" s="24" t="n">
        <f aca="false">IF(Search!$B$3="",0,IF($A2685="",N(K2684),IF(ISNUMBER(SEARCH(Search!$B$3,$A2685&amp;"")),N(K2684)+1,N(K2684))))</f>
        <v>0</v>
      </c>
    </row>
    <row r="2686" customFormat="false" ht="15" hidden="false" customHeight="false" outlineLevel="0" collapsed="false">
      <c r="K2686" s="24" t="n">
        <f aca="false">IF(Search!$B$3="",0,IF($A2686="",N(K2685),IF(ISNUMBER(SEARCH(Search!$B$3,$A2686&amp;"")),N(K2685)+1,N(K2685))))</f>
        <v>0</v>
      </c>
    </row>
    <row r="2687" customFormat="false" ht="15" hidden="false" customHeight="false" outlineLevel="0" collapsed="false">
      <c r="K2687" s="24" t="n">
        <f aca="false">IF(Search!$B$3="",0,IF($A2687="",N(K2686),IF(ISNUMBER(SEARCH(Search!$B$3,$A2687&amp;"")),N(K2686)+1,N(K2686))))</f>
        <v>0</v>
      </c>
    </row>
    <row r="2688" customFormat="false" ht="15" hidden="false" customHeight="false" outlineLevel="0" collapsed="false">
      <c r="K2688" s="24" t="n">
        <f aca="false">IF(Search!$B$3="",0,IF($A2688="",N(K2687),IF(ISNUMBER(SEARCH(Search!$B$3,$A2688&amp;"")),N(K2687)+1,N(K2687))))</f>
        <v>0</v>
      </c>
    </row>
    <row r="2689" customFormat="false" ht="15" hidden="false" customHeight="false" outlineLevel="0" collapsed="false">
      <c r="K2689" s="24" t="n">
        <f aca="false">IF(Search!$B$3="",0,IF($A2689="",N(K2688),IF(ISNUMBER(SEARCH(Search!$B$3,$A2689&amp;"")),N(K2688)+1,N(K2688))))</f>
        <v>0</v>
      </c>
    </row>
    <row r="2690" customFormat="false" ht="15" hidden="false" customHeight="false" outlineLevel="0" collapsed="false">
      <c r="K2690" s="24" t="n">
        <f aca="false">IF(Search!$B$3="",0,IF($A2690="",N(K2689),IF(ISNUMBER(SEARCH(Search!$B$3,$A2690&amp;"")),N(K2689)+1,N(K2689))))</f>
        <v>0</v>
      </c>
    </row>
    <row r="2691" customFormat="false" ht="15" hidden="false" customHeight="false" outlineLevel="0" collapsed="false">
      <c r="K2691" s="24" t="n">
        <f aca="false">IF(Search!$B$3="",0,IF($A2691="",N(K2690),IF(ISNUMBER(SEARCH(Search!$B$3,$A2691&amp;"")),N(K2690)+1,N(K2690))))</f>
        <v>0</v>
      </c>
    </row>
    <row r="2692" customFormat="false" ht="15" hidden="false" customHeight="false" outlineLevel="0" collapsed="false">
      <c r="K2692" s="24" t="n">
        <f aca="false">IF(Search!$B$3="",0,IF($A2692="",N(K2691),IF(ISNUMBER(SEARCH(Search!$B$3,$A2692&amp;"")),N(K2691)+1,N(K2691))))</f>
        <v>0</v>
      </c>
    </row>
    <row r="2693" customFormat="false" ht="15" hidden="false" customHeight="false" outlineLevel="0" collapsed="false">
      <c r="K2693" s="24" t="n">
        <f aca="false">IF(Search!$B$3="",0,IF($A2693="",N(K2692),IF(ISNUMBER(SEARCH(Search!$B$3,$A2693&amp;"")),N(K2692)+1,N(K2692))))</f>
        <v>0</v>
      </c>
    </row>
    <row r="2694" customFormat="false" ht="15" hidden="false" customHeight="false" outlineLevel="0" collapsed="false">
      <c r="K2694" s="24" t="n">
        <f aca="false">IF(Search!$B$3="",0,IF($A2694="",N(K2693),IF(ISNUMBER(SEARCH(Search!$B$3,$A2694&amp;"")),N(K2693)+1,N(K2693))))</f>
        <v>0</v>
      </c>
    </row>
    <row r="2695" customFormat="false" ht="15" hidden="false" customHeight="false" outlineLevel="0" collapsed="false">
      <c r="K2695" s="24" t="n">
        <f aca="false">IF(Search!$B$3="",0,IF($A2695="",N(K2694),IF(ISNUMBER(SEARCH(Search!$B$3,$A2695&amp;"")),N(K2694)+1,N(K2694))))</f>
        <v>0</v>
      </c>
    </row>
    <row r="2696" customFormat="false" ht="15" hidden="false" customHeight="false" outlineLevel="0" collapsed="false">
      <c r="K2696" s="24" t="n">
        <f aca="false">IF(Search!$B$3="",0,IF($A2696="",N(K2695),IF(ISNUMBER(SEARCH(Search!$B$3,$A2696&amp;"")),N(K2695)+1,N(K2695))))</f>
        <v>0</v>
      </c>
    </row>
    <row r="2697" customFormat="false" ht="15" hidden="false" customHeight="false" outlineLevel="0" collapsed="false">
      <c r="K2697" s="24" t="n">
        <f aca="false">IF(Search!$B$3="",0,IF($A2697="",N(K2696),IF(ISNUMBER(SEARCH(Search!$B$3,$A2697&amp;"")),N(K2696)+1,N(K2696))))</f>
        <v>0</v>
      </c>
    </row>
    <row r="2698" customFormat="false" ht="15" hidden="false" customHeight="false" outlineLevel="0" collapsed="false">
      <c r="K2698" s="24" t="n">
        <f aca="false">IF(Search!$B$3="",0,IF($A2698="",N(K2697),IF(ISNUMBER(SEARCH(Search!$B$3,$A2698&amp;"")),N(K2697)+1,N(K2697))))</f>
        <v>0</v>
      </c>
    </row>
    <row r="2699" customFormat="false" ht="15" hidden="false" customHeight="false" outlineLevel="0" collapsed="false">
      <c r="K2699" s="24" t="n">
        <f aca="false">IF(Search!$B$3="",0,IF($A2699="",N(K2698),IF(ISNUMBER(SEARCH(Search!$B$3,$A2699&amp;"")),N(K2698)+1,N(K2698))))</f>
        <v>0</v>
      </c>
    </row>
    <row r="2700" customFormat="false" ht="15" hidden="false" customHeight="false" outlineLevel="0" collapsed="false">
      <c r="K2700" s="24" t="n">
        <f aca="false">IF(Search!$B$3="",0,IF($A2700="",N(K2699),IF(ISNUMBER(SEARCH(Search!$B$3,$A2700&amp;"")),N(K2699)+1,N(K2699))))</f>
        <v>0</v>
      </c>
    </row>
    <row r="2701" customFormat="false" ht="15" hidden="false" customHeight="false" outlineLevel="0" collapsed="false">
      <c r="K2701" s="24" t="n">
        <f aca="false">IF(Search!$B$3="",0,IF($A2701="",N(K2700),IF(ISNUMBER(SEARCH(Search!$B$3,$A2701&amp;"")),N(K2700)+1,N(K2700))))</f>
        <v>0</v>
      </c>
    </row>
    <row r="2702" customFormat="false" ht="15" hidden="false" customHeight="false" outlineLevel="0" collapsed="false">
      <c r="K2702" s="24" t="n">
        <f aca="false">IF(Search!$B$3="",0,IF($A2702="",N(K2701),IF(ISNUMBER(SEARCH(Search!$B$3,$A2702&amp;"")),N(K2701)+1,N(K2701))))</f>
        <v>0</v>
      </c>
    </row>
    <row r="2703" customFormat="false" ht="15" hidden="false" customHeight="false" outlineLevel="0" collapsed="false">
      <c r="K2703" s="24" t="n">
        <f aca="false">IF(Search!$B$3="",0,IF($A2703="",N(K2702),IF(ISNUMBER(SEARCH(Search!$B$3,$A2703&amp;"")),N(K2702)+1,N(K2702))))</f>
        <v>0</v>
      </c>
    </row>
    <row r="2704" customFormat="false" ht="15" hidden="false" customHeight="false" outlineLevel="0" collapsed="false">
      <c r="K2704" s="24" t="n">
        <f aca="false">IF(Search!$B$3="",0,IF($A2704="",N(K2703),IF(ISNUMBER(SEARCH(Search!$B$3,$A2704&amp;"")),N(K2703)+1,N(K2703))))</f>
        <v>0</v>
      </c>
    </row>
    <row r="2705" customFormat="false" ht="15" hidden="false" customHeight="false" outlineLevel="0" collapsed="false">
      <c r="K2705" s="24" t="n">
        <f aca="false">IF(Search!$B$3="",0,IF($A2705="",N(K2704),IF(ISNUMBER(SEARCH(Search!$B$3,$A2705&amp;"")),N(K2704)+1,N(K2704))))</f>
        <v>0</v>
      </c>
    </row>
    <row r="2706" customFormat="false" ht="15" hidden="false" customHeight="false" outlineLevel="0" collapsed="false">
      <c r="K2706" s="24" t="n">
        <f aca="false">IF(Search!$B$3="",0,IF($A2706="",N(K2705),IF(ISNUMBER(SEARCH(Search!$B$3,$A2706&amp;"")),N(K2705)+1,N(K2705))))</f>
        <v>0</v>
      </c>
    </row>
    <row r="2707" customFormat="false" ht="15" hidden="false" customHeight="false" outlineLevel="0" collapsed="false">
      <c r="K2707" s="24" t="n">
        <f aca="false">IF(Search!$B$3="",0,IF($A2707="",N(K2706),IF(ISNUMBER(SEARCH(Search!$B$3,$A2707&amp;"")),N(K2706)+1,N(K2706))))</f>
        <v>0</v>
      </c>
    </row>
    <row r="2708" customFormat="false" ht="15" hidden="false" customHeight="false" outlineLevel="0" collapsed="false">
      <c r="K2708" s="24" t="n">
        <f aca="false">IF(Search!$B$3="",0,IF($A2708="",N(K2707),IF(ISNUMBER(SEARCH(Search!$B$3,$A2708&amp;"")),N(K2707)+1,N(K2707))))</f>
        <v>0</v>
      </c>
    </row>
    <row r="2709" customFormat="false" ht="15" hidden="false" customHeight="false" outlineLevel="0" collapsed="false">
      <c r="K2709" s="24" t="n">
        <f aca="false">IF(Search!$B$3="",0,IF($A2709="",N(K2708),IF(ISNUMBER(SEARCH(Search!$B$3,$A2709&amp;"")),N(K2708)+1,N(K2708))))</f>
        <v>0</v>
      </c>
    </row>
    <row r="2710" customFormat="false" ht="15" hidden="false" customHeight="false" outlineLevel="0" collapsed="false">
      <c r="K2710" s="24" t="n">
        <f aca="false">IF(Search!$B$3="",0,IF($A2710="",N(K2709),IF(ISNUMBER(SEARCH(Search!$B$3,$A2710&amp;"")),N(K2709)+1,N(K2709))))</f>
        <v>0</v>
      </c>
    </row>
    <row r="2711" customFormat="false" ht="15" hidden="false" customHeight="false" outlineLevel="0" collapsed="false">
      <c r="K2711" s="24" t="n">
        <f aca="false">IF(Search!$B$3="",0,IF($A2711="",N(K2710),IF(ISNUMBER(SEARCH(Search!$B$3,$A2711&amp;"")),N(K2710)+1,N(K2710))))</f>
        <v>0</v>
      </c>
    </row>
    <row r="2712" customFormat="false" ht="15" hidden="false" customHeight="false" outlineLevel="0" collapsed="false">
      <c r="K2712" s="24" t="n">
        <f aca="false">IF(Search!$B$3="",0,IF($A2712="",N(K2711),IF(ISNUMBER(SEARCH(Search!$B$3,$A2712&amp;"")),N(K2711)+1,N(K2711))))</f>
        <v>0</v>
      </c>
    </row>
    <row r="2713" customFormat="false" ht="15" hidden="false" customHeight="false" outlineLevel="0" collapsed="false">
      <c r="K2713" s="24" t="n">
        <f aca="false">IF(Search!$B$3="",0,IF($A2713="",N(K2712),IF(ISNUMBER(SEARCH(Search!$B$3,$A2713&amp;"")),N(K2712)+1,N(K2712))))</f>
        <v>0</v>
      </c>
    </row>
    <row r="2714" customFormat="false" ht="15" hidden="false" customHeight="false" outlineLevel="0" collapsed="false">
      <c r="K2714" s="24" t="n">
        <f aca="false">IF(Search!$B$3="",0,IF($A2714="",N(K2713),IF(ISNUMBER(SEARCH(Search!$B$3,$A2714&amp;"")),N(K2713)+1,N(K2713))))</f>
        <v>0</v>
      </c>
    </row>
    <row r="2715" customFormat="false" ht="15" hidden="false" customHeight="false" outlineLevel="0" collapsed="false">
      <c r="K2715" s="24" t="n">
        <f aca="false">IF(Search!$B$3="",0,IF($A2715="",N(K2714),IF(ISNUMBER(SEARCH(Search!$B$3,$A2715&amp;"")),N(K2714)+1,N(K2714))))</f>
        <v>0</v>
      </c>
    </row>
    <row r="2716" customFormat="false" ht="15" hidden="false" customHeight="false" outlineLevel="0" collapsed="false">
      <c r="K2716" s="24" t="n">
        <f aca="false">IF(Search!$B$3="",0,IF($A2716="",N(K2715),IF(ISNUMBER(SEARCH(Search!$B$3,$A2716&amp;"")),N(K2715)+1,N(K2715))))</f>
        <v>0</v>
      </c>
    </row>
    <row r="2717" customFormat="false" ht="15" hidden="false" customHeight="false" outlineLevel="0" collapsed="false">
      <c r="K2717" s="24" t="n">
        <f aca="false">IF(Search!$B$3="",0,IF($A2717="",N(K2716),IF(ISNUMBER(SEARCH(Search!$B$3,$A2717&amp;"")),N(K2716)+1,N(K2716))))</f>
        <v>0</v>
      </c>
    </row>
    <row r="2718" customFormat="false" ht="15" hidden="false" customHeight="false" outlineLevel="0" collapsed="false">
      <c r="K2718" s="24" t="n">
        <f aca="false">IF(Search!$B$3="",0,IF($A2718="",N(K2717),IF(ISNUMBER(SEARCH(Search!$B$3,$A2718&amp;"")),N(K2717)+1,N(K2717))))</f>
        <v>0</v>
      </c>
    </row>
    <row r="2719" customFormat="false" ht="15" hidden="false" customHeight="false" outlineLevel="0" collapsed="false">
      <c r="K2719" s="24" t="n">
        <f aca="false">IF(Search!$B$3="",0,IF($A2719="",N(K2718),IF(ISNUMBER(SEARCH(Search!$B$3,$A2719&amp;"")),N(K2718)+1,N(K2718))))</f>
        <v>0</v>
      </c>
    </row>
    <row r="2720" customFormat="false" ht="15" hidden="false" customHeight="false" outlineLevel="0" collapsed="false">
      <c r="K2720" s="24" t="n">
        <f aca="false">IF(Search!$B$3="",0,IF($A2720="",N(K2719),IF(ISNUMBER(SEARCH(Search!$B$3,$A2720&amp;"")),N(K2719)+1,N(K2719))))</f>
        <v>0</v>
      </c>
    </row>
    <row r="2721" customFormat="false" ht="15" hidden="false" customHeight="false" outlineLevel="0" collapsed="false">
      <c r="K2721" s="24" t="n">
        <f aca="false">IF(Search!$B$3="",0,IF($A2721="",N(K2720),IF(ISNUMBER(SEARCH(Search!$B$3,$A2721&amp;"")),N(K2720)+1,N(K2720))))</f>
        <v>0</v>
      </c>
    </row>
    <row r="2722" customFormat="false" ht="15" hidden="false" customHeight="false" outlineLevel="0" collapsed="false">
      <c r="K2722" s="24" t="n">
        <f aca="false">IF(Search!$B$3="",0,IF($A2722="",N(K2721),IF(ISNUMBER(SEARCH(Search!$B$3,$A2722&amp;"")),N(K2721)+1,N(K2721))))</f>
        <v>0</v>
      </c>
    </row>
    <row r="2723" customFormat="false" ht="15" hidden="false" customHeight="false" outlineLevel="0" collapsed="false">
      <c r="K2723" s="24" t="n">
        <f aca="false">IF(Search!$B$3="",0,IF($A2723="",N(K2722),IF(ISNUMBER(SEARCH(Search!$B$3,$A2723&amp;"")),N(K2722)+1,N(K2722))))</f>
        <v>0</v>
      </c>
    </row>
    <row r="2724" customFormat="false" ht="15" hidden="false" customHeight="false" outlineLevel="0" collapsed="false">
      <c r="K2724" s="24" t="n">
        <f aca="false">IF(Search!$B$3="",0,IF($A2724="",N(K2723),IF(ISNUMBER(SEARCH(Search!$B$3,$A2724&amp;"")),N(K2723)+1,N(K2723))))</f>
        <v>0</v>
      </c>
    </row>
    <row r="2725" customFormat="false" ht="15" hidden="false" customHeight="false" outlineLevel="0" collapsed="false">
      <c r="K2725" s="24" t="n">
        <f aca="false">IF(Search!$B$3="",0,IF($A2725="",N(K2724),IF(ISNUMBER(SEARCH(Search!$B$3,$A2725&amp;"")),N(K2724)+1,N(K2724))))</f>
        <v>0</v>
      </c>
    </row>
    <row r="2726" customFormat="false" ht="15" hidden="false" customHeight="false" outlineLevel="0" collapsed="false">
      <c r="K2726" s="24" t="n">
        <f aca="false">IF(Search!$B$3="",0,IF($A2726="",N(K2725),IF(ISNUMBER(SEARCH(Search!$B$3,$A2726&amp;"")),N(K2725)+1,N(K2725))))</f>
        <v>0</v>
      </c>
    </row>
    <row r="2727" customFormat="false" ht="15" hidden="false" customHeight="false" outlineLevel="0" collapsed="false">
      <c r="K2727" s="24" t="n">
        <f aca="false">IF(Search!$B$3="",0,IF($A2727="",N(K2726),IF(ISNUMBER(SEARCH(Search!$B$3,$A2727&amp;"")),N(K2726)+1,N(K2726))))</f>
        <v>0</v>
      </c>
    </row>
    <row r="2728" customFormat="false" ht="15" hidden="false" customHeight="false" outlineLevel="0" collapsed="false">
      <c r="K2728" s="24" t="n">
        <f aca="false">IF(Search!$B$3="",0,IF($A2728="",N(K2727),IF(ISNUMBER(SEARCH(Search!$B$3,$A2728&amp;"")),N(K2727)+1,N(K2727))))</f>
        <v>0</v>
      </c>
    </row>
    <row r="2729" customFormat="false" ht="15" hidden="false" customHeight="false" outlineLevel="0" collapsed="false">
      <c r="K2729" s="24" t="n">
        <f aca="false">IF(Search!$B$3="",0,IF($A2729="",N(K2728),IF(ISNUMBER(SEARCH(Search!$B$3,$A2729&amp;"")),N(K2728)+1,N(K2728))))</f>
        <v>0</v>
      </c>
    </row>
    <row r="2730" customFormat="false" ht="15" hidden="false" customHeight="false" outlineLevel="0" collapsed="false">
      <c r="K2730" s="24" t="n">
        <f aca="false">IF(Search!$B$3="",0,IF($A2730="",N(K2729),IF(ISNUMBER(SEARCH(Search!$B$3,$A2730&amp;"")),N(K2729)+1,N(K2729))))</f>
        <v>0</v>
      </c>
    </row>
    <row r="2731" customFormat="false" ht="15" hidden="false" customHeight="false" outlineLevel="0" collapsed="false">
      <c r="K2731" s="24" t="n">
        <f aca="false">IF(Search!$B$3="",0,IF($A2731="",N(K2730),IF(ISNUMBER(SEARCH(Search!$B$3,$A2731&amp;"")),N(K2730)+1,N(K2730))))</f>
        <v>0</v>
      </c>
    </row>
    <row r="2732" customFormat="false" ht="15" hidden="false" customHeight="false" outlineLevel="0" collapsed="false">
      <c r="K2732" s="24" t="n">
        <f aca="false">IF(Search!$B$3="",0,IF($A2732="",N(K2731),IF(ISNUMBER(SEARCH(Search!$B$3,$A2732&amp;"")),N(K2731)+1,N(K2731))))</f>
        <v>0</v>
      </c>
    </row>
    <row r="2733" customFormat="false" ht="15" hidden="false" customHeight="false" outlineLevel="0" collapsed="false">
      <c r="K2733" s="24" t="n">
        <f aca="false">IF(Search!$B$3="",0,IF($A2733="",N(K2732),IF(ISNUMBER(SEARCH(Search!$B$3,$A2733&amp;"")),N(K2732)+1,N(K2732))))</f>
        <v>0</v>
      </c>
    </row>
    <row r="2734" customFormat="false" ht="15" hidden="false" customHeight="false" outlineLevel="0" collapsed="false">
      <c r="K2734" s="24" t="n">
        <f aca="false">IF(Search!$B$3="",0,IF($A2734="",N(K2733),IF(ISNUMBER(SEARCH(Search!$B$3,$A2734&amp;"")),N(K2733)+1,N(K2733))))</f>
        <v>0</v>
      </c>
    </row>
    <row r="2735" customFormat="false" ht="15" hidden="false" customHeight="false" outlineLevel="0" collapsed="false">
      <c r="K2735" s="24" t="n">
        <f aca="false">IF(Search!$B$3="",0,IF($A2735="",N(K2734),IF(ISNUMBER(SEARCH(Search!$B$3,$A2735&amp;"")),N(K2734)+1,N(K2734))))</f>
        <v>0</v>
      </c>
    </row>
    <row r="2736" customFormat="false" ht="15" hidden="false" customHeight="false" outlineLevel="0" collapsed="false">
      <c r="K2736" s="24" t="n">
        <f aca="false">IF(Search!$B$3="",0,IF($A2736="",N(K2735),IF(ISNUMBER(SEARCH(Search!$B$3,$A2736&amp;"")),N(K2735)+1,N(K2735))))</f>
        <v>0</v>
      </c>
    </row>
    <row r="2737" customFormat="false" ht="15" hidden="false" customHeight="false" outlineLevel="0" collapsed="false">
      <c r="K2737" s="24" t="n">
        <f aca="false">IF(Search!$B$3="",0,IF($A2737="",N(K2736),IF(ISNUMBER(SEARCH(Search!$B$3,$A2737&amp;"")),N(K2736)+1,N(K2736))))</f>
        <v>0</v>
      </c>
    </row>
    <row r="2738" customFormat="false" ht="15" hidden="false" customHeight="false" outlineLevel="0" collapsed="false">
      <c r="K2738" s="24" t="n">
        <f aca="false">IF(Search!$B$3="",0,IF($A2738="",N(K2737),IF(ISNUMBER(SEARCH(Search!$B$3,$A2738&amp;"")),N(K2737)+1,N(K2737))))</f>
        <v>0</v>
      </c>
    </row>
    <row r="2739" customFormat="false" ht="15" hidden="false" customHeight="false" outlineLevel="0" collapsed="false">
      <c r="K2739" s="24" t="n">
        <f aca="false">IF(Search!$B$3="",0,IF($A2739="",N(K2738),IF(ISNUMBER(SEARCH(Search!$B$3,$A2739&amp;"")),N(K2738)+1,N(K2738))))</f>
        <v>0</v>
      </c>
    </row>
    <row r="2740" customFormat="false" ht="15" hidden="false" customHeight="false" outlineLevel="0" collapsed="false">
      <c r="K2740" s="24" t="n">
        <f aca="false">IF(Search!$B$3="",0,IF($A2740="",N(K2739),IF(ISNUMBER(SEARCH(Search!$B$3,$A2740&amp;"")),N(K2739)+1,N(K2739))))</f>
        <v>0</v>
      </c>
    </row>
    <row r="2741" customFormat="false" ht="15" hidden="false" customHeight="false" outlineLevel="0" collapsed="false">
      <c r="K2741" s="24" t="n">
        <f aca="false">IF(Search!$B$3="",0,IF($A2741="",N(K2740),IF(ISNUMBER(SEARCH(Search!$B$3,$A2741&amp;"")),N(K2740)+1,N(K2740))))</f>
        <v>0</v>
      </c>
    </row>
    <row r="2742" customFormat="false" ht="15" hidden="false" customHeight="false" outlineLevel="0" collapsed="false">
      <c r="K2742" s="24" t="n">
        <f aca="false">IF(Search!$B$3="",0,IF($A2742="",N(K2741),IF(ISNUMBER(SEARCH(Search!$B$3,$A2742&amp;"")),N(K2741)+1,N(K2741))))</f>
        <v>0</v>
      </c>
    </row>
    <row r="2743" customFormat="false" ht="15" hidden="false" customHeight="false" outlineLevel="0" collapsed="false">
      <c r="K2743" s="24" t="n">
        <f aca="false">IF(Search!$B$3="",0,IF($A2743="",N(K2742),IF(ISNUMBER(SEARCH(Search!$B$3,$A2743&amp;"")),N(K2742)+1,N(K2742))))</f>
        <v>0</v>
      </c>
    </row>
    <row r="2744" customFormat="false" ht="15" hidden="false" customHeight="false" outlineLevel="0" collapsed="false">
      <c r="K2744" s="24" t="n">
        <f aca="false">IF(Search!$B$3="",0,IF($A2744="",N(K2743),IF(ISNUMBER(SEARCH(Search!$B$3,$A2744&amp;"")),N(K2743)+1,N(K2743))))</f>
        <v>0</v>
      </c>
    </row>
    <row r="2745" customFormat="false" ht="15" hidden="false" customHeight="false" outlineLevel="0" collapsed="false">
      <c r="K2745" s="24" t="n">
        <f aca="false">IF(Search!$B$3="",0,IF($A2745="",N(K2744),IF(ISNUMBER(SEARCH(Search!$B$3,$A2745&amp;"")),N(K2744)+1,N(K2744))))</f>
        <v>0</v>
      </c>
    </row>
    <row r="2746" customFormat="false" ht="15" hidden="false" customHeight="false" outlineLevel="0" collapsed="false">
      <c r="K2746" s="24" t="n">
        <f aca="false">IF(Search!$B$3="",0,IF($A2746="",N(K2745),IF(ISNUMBER(SEARCH(Search!$B$3,$A2746&amp;"")),N(K2745)+1,N(K2745))))</f>
        <v>0</v>
      </c>
    </row>
    <row r="2747" customFormat="false" ht="15" hidden="false" customHeight="false" outlineLevel="0" collapsed="false">
      <c r="K2747" s="24" t="n">
        <f aca="false">IF(Search!$B$3="",0,IF($A2747="",N(K2746),IF(ISNUMBER(SEARCH(Search!$B$3,$A2747&amp;"")),N(K2746)+1,N(K2746))))</f>
        <v>0</v>
      </c>
    </row>
    <row r="2748" customFormat="false" ht="15" hidden="false" customHeight="false" outlineLevel="0" collapsed="false">
      <c r="K2748" s="24" t="n">
        <f aca="false">IF(Search!$B$3="",0,IF($A2748="",N(K2747),IF(ISNUMBER(SEARCH(Search!$B$3,$A2748&amp;"")),N(K2747)+1,N(K2747))))</f>
        <v>0</v>
      </c>
    </row>
    <row r="2749" customFormat="false" ht="15" hidden="false" customHeight="false" outlineLevel="0" collapsed="false">
      <c r="K2749" s="24" t="n">
        <f aca="false">IF(Search!$B$3="",0,IF($A2749="",N(K2748),IF(ISNUMBER(SEARCH(Search!$B$3,$A2749&amp;"")),N(K2748)+1,N(K2748))))</f>
        <v>0</v>
      </c>
    </row>
    <row r="2750" customFormat="false" ht="15" hidden="false" customHeight="false" outlineLevel="0" collapsed="false">
      <c r="K2750" s="24" t="n">
        <f aca="false">IF(Search!$B$3="",0,IF($A2750="",N(K2749),IF(ISNUMBER(SEARCH(Search!$B$3,$A2750&amp;"")),N(K2749)+1,N(K2749))))</f>
        <v>0</v>
      </c>
    </row>
    <row r="2751" customFormat="false" ht="15" hidden="false" customHeight="false" outlineLevel="0" collapsed="false">
      <c r="K2751" s="24" t="n">
        <f aca="false">IF(Search!$B$3="",0,IF($A2751="",N(K2750),IF(ISNUMBER(SEARCH(Search!$B$3,$A2751&amp;"")),N(K2750)+1,N(K2750))))</f>
        <v>0</v>
      </c>
    </row>
    <row r="2752" customFormat="false" ht="15" hidden="false" customHeight="false" outlineLevel="0" collapsed="false">
      <c r="K2752" s="24" t="n">
        <f aca="false">IF(Search!$B$3="",0,IF($A2752="",N(K2751),IF(ISNUMBER(SEARCH(Search!$B$3,$A2752&amp;"")),N(K2751)+1,N(K2751))))</f>
        <v>0</v>
      </c>
    </row>
    <row r="2753" customFormat="false" ht="15" hidden="false" customHeight="false" outlineLevel="0" collapsed="false">
      <c r="K2753" s="24" t="n">
        <f aca="false">IF(Search!$B$3="",0,IF($A2753="",N(K2752),IF(ISNUMBER(SEARCH(Search!$B$3,$A2753&amp;"")),N(K2752)+1,N(K2752))))</f>
        <v>0</v>
      </c>
    </row>
    <row r="2754" customFormat="false" ht="15" hidden="false" customHeight="false" outlineLevel="0" collapsed="false">
      <c r="K2754" s="24" t="n">
        <f aca="false">IF(Search!$B$3="",0,IF($A2754="",N(K2753),IF(ISNUMBER(SEARCH(Search!$B$3,$A2754&amp;"")),N(K2753)+1,N(K2753))))</f>
        <v>0</v>
      </c>
    </row>
    <row r="2755" customFormat="false" ht="15" hidden="false" customHeight="false" outlineLevel="0" collapsed="false">
      <c r="K2755" s="24" t="n">
        <f aca="false">IF(Search!$B$3="",0,IF($A2755="",N(K2754),IF(ISNUMBER(SEARCH(Search!$B$3,$A2755&amp;"")),N(K2754)+1,N(K2754))))</f>
        <v>0</v>
      </c>
    </row>
    <row r="2756" customFormat="false" ht="15" hidden="false" customHeight="false" outlineLevel="0" collapsed="false">
      <c r="K2756" s="24" t="n">
        <f aca="false">IF(Search!$B$3="",0,IF($A2756="",N(K2755),IF(ISNUMBER(SEARCH(Search!$B$3,$A2756&amp;"")),N(K2755)+1,N(K2755))))</f>
        <v>0</v>
      </c>
    </row>
    <row r="2757" customFormat="false" ht="15" hidden="false" customHeight="false" outlineLevel="0" collapsed="false">
      <c r="K2757" s="24" t="n">
        <f aca="false">IF(Search!$B$3="",0,IF($A2757="",N(K2756),IF(ISNUMBER(SEARCH(Search!$B$3,$A2757&amp;"")),N(K2756)+1,N(K2756))))</f>
        <v>0</v>
      </c>
    </row>
    <row r="2758" customFormat="false" ht="15" hidden="false" customHeight="false" outlineLevel="0" collapsed="false">
      <c r="K2758" s="24" t="n">
        <f aca="false">IF(Search!$B$3="",0,IF($A2758="",N(K2757),IF(ISNUMBER(SEARCH(Search!$B$3,$A2758&amp;"")),N(K2757)+1,N(K2757))))</f>
        <v>0</v>
      </c>
    </row>
    <row r="2759" customFormat="false" ht="15" hidden="false" customHeight="false" outlineLevel="0" collapsed="false">
      <c r="K2759" s="24" t="n">
        <f aca="false">IF(Search!$B$3="",0,IF($A2759="",N(K2758),IF(ISNUMBER(SEARCH(Search!$B$3,$A2759&amp;"")),N(K2758)+1,N(K2758))))</f>
        <v>0</v>
      </c>
    </row>
    <row r="2760" customFormat="false" ht="15" hidden="false" customHeight="false" outlineLevel="0" collapsed="false">
      <c r="K2760" s="24" t="n">
        <f aca="false">IF(Search!$B$3="",0,IF($A2760="",N(K2759),IF(ISNUMBER(SEARCH(Search!$B$3,$A2760&amp;"")),N(K2759)+1,N(K2759))))</f>
        <v>0</v>
      </c>
    </row>
    <row r="2761" customFormat="false" ht="15" hidden="false" customHeight="false" outlineLevel="0" collapsed="false">
      <c r="K2761" s="24" t="n">
        <f aca="false">IF(Search!$B$3="",0,IF($A2761="",N(K2760),IF(ISNUMBER(SEARCH(Search!$B$3,$A2761&amp;"")),N(K2760)+1,N(K2760))))</f>
        <v>0</v>
      </c>
    </row>
    <row r="2762" customFormat="false" ht="15" hidden="false" customHeight="false" outlineLevel="0" collapsed="false">
      <c r="K2762" s="24" t="n">
        <f aca="false">IF(Search!$B$3="",0,IF($A2762="",N(K2761),IF(ISNUMBER(SEARCH(Search!$B$3,$A2762&amp;"")),N(K2761)+1,N(K2761))))</f>
        <v>0</v>
      </c>
    </row>
    <row r="2763" customFormat="false" ht="15" hidden="false" customHeight="false" outlineLevel="0" collapsed="false">
      <c r="K2763" s="24" t="n">
        <f aca="false">IF(Search!$B$3="",0,IF($A2763="",N(K2762),IF(ISNUMBER(SEARCH(Search!$B$3,$A2763&amp;"")),N(K2762)+1,N(K2762))))</f>
        <v>0</v>
      </c>
    </row>
    <row r="2764" customFormat="false" ht="15" hidden="false" customHeight="false" outlineLevel="0" collapsed="false">
      <c r="K2764" s="24" t="n">
        <f aca="false">IF(Search!$B$3="",0,IF($A2764="",N(K2763),IF(ISNUMBER(SEARCH(Search!$B$3,$A2764&amp;"")),N(K2763)+1,N(K2763))))</f>
        <v>0</v>
      </c>
    </row>
    <row r="2765" customFormat="false" ht="15" hidden="false" customHeight="false" outlineLevel="0" collapsed="false">
      <c r="K2765" s="24" t="n">
        <f aca="false">IF(Search!$B$3="",0,IF($A2765="",N(K2764),IF(ISNUMBER(SEARCH(Search!$B$3,$A2765&amp;"")),N(K2764)+1,N(K2764))))</f>
        <v>0</v>
      </c>
    </row>
    <row r="2766" customFormat="false" ht="15" hidden="false" customHeight="false" outlineLevel="0" collapsed="false">
      <c r="K2766" s="24" t="n">
        <f aca="false">IF(Search!$B$3="",0,IF($A2766="",N(K2765),IF(ISNUMBER(SEARCH(Search!$B$3,$A2766&amp;"")),N(K2765)+1,N(K2765))))</f>
        <v>0</v>
      </c>
    </row>
    <row r="2767" customFormat="false" ht="15" hidden="false" customHeight="false" outlineLevel="0" collapsed="false">
      <c r="K2767" s="24" t="n">
        <f aca="false">IF(Search!$B$3="",0,IF($A2767="",N(K2766),IF(ISNUMBER(SEARCH(Search!$B$3,$A2767&amp;"")),N(K2766)+1,N(K2766))))</f>
        <v>0</v>
      </c>
    </row>
    <row r="2768" customFormat="false" ht="15" hidden="false" customHeight="false" outlineLevel="0" collapsed="false">
      <c r="K2768" s="24" t="n">
        <f aca="false">IF(Search!$B$3="",0,IF($A2768="",N(K2767),IF(ISNUMBER(SEARCH(Search!$B$3,$A2768&amp;"")),N(K2767)+1,N(K2767))))</f>
        <v>0</v>
      </c>
    </row>
    <row r="2769" customFormat="false" ht="15" hidden="false" customHeight="false" outlineLevel="0" collapsed="false">
      <c r="K2769" s="24" t="n">
        <f aca="false">IF(Search!$B$3="",0,IF($A2769="",N(K2768),IF(ISNUMBER(SEARCH(Search!$B$3,$A2769&amp;"")),N(K2768)+1,N(K2768))))</f>
        <v>0</v>
      </c>
    </row>
    <row r="2770" customFormat="false" ht="15" hidden="false" customHeight="false" outlineLevel="0" collapsed="false">
      <c r="K2770" s="24" t="n">
        <f aca="false">IF(Search!$B$3="",0,IF($A2770="",N(K2769),IF(ISNUMBER(SEARCH(Search!$B$3,$A2770&amp;"")),N(K2769)+1,N(K2769))))</f>
        <v>0</v>
      </c>
    </row>
    <row r="2771" customFormat="false" ht="15" hidden="false" customHeight="false" outlineLevel="0" collapsed="false">
      <c r="K2771" s="24" t="n">
        <f aca="false">IF(Search!$B$3="",0,IF($A2771="",N(K2770),IF(ISNUMBER(SEARCH(Search!$B$3,$A2771&amp;"")),N(K2770)+1,N(K2770))))</f>
        <v>0</v>
      </c>
    </row>
    <row r="2772" customFormat="false" ht="15" hidden="false" customHeight="false" outlineLevel="0" collapsed="false">
      <c r="K2772" s="24" t="n">
        <f aca="false">IF(Search!$B$3="",0,IF($A2772="",N(K2771),IF(ISNUMBER(SEARCH(Search!$B$3,$A2772&amp;"")),N(K2771)+1,N(K2771))))</f>
        <v>0</v>
      </c>
    </row>
    <row r="2773" customFormat="false" ht="15" hidden="false" customHeight="false" outlineLevel="0" collapsed="false">
      <c r="K2773" s="24" t="n">
        <f aca="false">IF(Search!$B$3="",0,IF($A2773="",N(K2772),IF(ISNUMBER(SEARCH(Search!$B$3,$A2773&amp;"")),N(K2772)+1,N(K2772))))</f>
        <v>0</v>
      </c>
    </row>
    <row r="2774" customFormat="false" ht="15" hidden="false" customHeight="false" outlineLevel="0" collapsed="false">
      <c r="K2774" s="24" t="n">
        <f aca="false">IF(Search!$B$3="",0,IF($A2774="",N(K2773),IF(ISNUMBER(SEARCH(Search!$B$3,$A2774&amp;"")),N(K2773)+1,N(K2773))))</f>
        <v>0</v>
      </c>
    </row>
    <row r="2775" customFormat="false" ht="15" hidden="false" customHeight="false" outlineLevel="0" collapsed="false">
      <c r="K2775" s="24" t="n">
        <f aca="false">IF(Search!$B$3="",0,IF($A2775="",N(K2774),IF(ISNUMBER(SEARCH(Search!$B$3,$A2775&amp;"")),N(K2774)+1,N(K2774))))</f>
        <v>0</v>
      </c>
    </row>
    <row r="2776" customFormat="false" ht="15" hidden="false" customHeight="false" outlineLevel="0" collapsed="false">
      <c r="K2776" s="24" t="n">
        <f aca="false">IF(Search!$B$3="",0,IF($A2776="",N(K2775),IF(ISNUMBER(SEARCH(Search!$B$3,$A2776&amp;"")),N(K2775)+1,N(K2775))))</f>
        <v>0</v>
      </c>
    </row>
    <row r="2777" customFormat="false" ht="15" hidden="false" customHeight="false" outlineLevel="0" collapsed="false">
      <c r="K2777" s="24" t="n">
        <f aca="false">IF(Search!$B$3="",0,IF($A2777="",N(K2776),IF(ISNUMBER(SEARCH(Search!$B$3,$A2777&amp;"")),N(K2776)+1,N(K2776))))</f>
        <v>0</v>
      </c>
    </row>
    <row r="2778" customFormat="false" ht="15" hidden="false" customHeight="false" outlineLevel="0" collapsed="false">
      <c r="K2778" s="24" t="n">
        <f aca="false">IF(Search!$B$3="",0,IF($A2778="",N(K2777),IF(ISNUMBER(SEARCH(Search!$B$3,$A2778&amp;"")),N(K2777)+1,N(K2777))))</f>
        <v>0</v>
      </c>
    </row>
    <row r="2779" customFormat="false" ht="15" hidden="false" customHeight="false" outlineLevel="0" collapsed="false">
      <c r="K2779" s="24" t="n">
        <f aca="false">IF(Search!$B$3="",0,IF($A2779="",N(K2778),IF(ISNUMBER(SEARCH(Search!$B$3,$A2779&amp;"")),N(K2778)+1,N(K2778))))</f>
        <v>0</v>
      </c>
    </row>
    <row r="2780" customFormat="false" ht="15" hidden="false" customHeight="false" outlineLevel="0" collapsed="false">
      <c r="K2780" s="24" t="n">
        <f aca="false">IF(Search!$B$3="",0,IF($A2780="",N(K2779),IF(ISNUMBER(SEARCH(Search!$B$3,$A2780&amp;"")),N(K2779)+1,N(K2779))))</f>
        <v>0</v>
      </c>
    </row>
    <row r="2781" customFormat="false" ht="15" hidden="false" customHeight="false" outlineLevel="0" collapsed="false">
      <c r="K2781" s="24" t="n">
        <f aca="false">IF(Search!$B$3="",0,IF($A2781="",N(K2780),IF(ISNUMBER(SEARCH(Search!$B$3,$A2781&amp;"")),N(K2780)+1,N(K2780))))</f>
        <v>0</v>
      </c>
    </row>
    <row r="2782" customFormat="false" ht="15" hidden="false" customHeight="false" outlineLevel="0" collapsed="false">
      <c r="K2782" s="24" t="n">
        <f aca="false">IF(Search!$B$3="",0,IF($A2782="",N(K2781),IF(ISNUMBER(SEARCH(Search!$B$3,$A2782&amp;"")),N(K2781)+1,N(K2781))))</f>
        <v>0</v>
      </c>
    </row>
    <row r="2783" customFormat="false" ht="15" hidden="false" customHeight="false" outlineLevel="0" collapsed="false">
      <c r="K2783" s="24" t="n">
        <f aca="false">IF(Search!$B$3="",0,IF($A2783="",N(K2782),IF(ISNUMBER(SEARCH(Search!$B$3,$A2783&amp;"")),N(K2782)+1,N(K2782))))</f>
        <v>0</v>
      </c>
    </row>
    <row r="2784" customFormat="false" ht="15" hidden="false" customHeight="false" outlineLevel="0" collapsed="false">
      <c r="K2784" s="24" t="n">
        <f aca="false">IF(Search!$B$3="",0,IF($A2784="",N(K2783),IF(ISNUMBER(SEARCH(Search!$B$3,$A2784&amp;"")),N(K2783)+1,N(K2783))))</f>
        <v>0</v>
      </c>
    </row>
    <row r="2785" customFormat="false" ht="15" hidden="false" customHeight="false" outlineLevel="0" collapsed="false">
      <c r="K2785" s="24" t="n">
        <f aca="false">IF(Search!$B$3="",0,IF($A2785="",N(K2784),IF(ISNUMBER(SEARCH(Search!$B$3,$A2785&amp;"")),N(K2784)+1,N(K2784))))</f>
        <v>0</v>
      </c>
    </row>
    <row r="2786" customFormat="false" ht="15" hidden="false" customHeight="false" outlineLevel="0" collapsed="false">
      <c r="K2786" s="24" t="n">
        <f aca="false">IF(Search!$B$3="",0,IF($A2786="",N(K2785),IF(ISNUMBER(SEARCH(Search!$B$3,$A2786&amp;"")),N(K2785)+1,N(K2785))))</f>
        <v>0</v>
      </c>
    </row>
    <row r="2787" customFormat="false" ht="15" hidden="false" customHeight="false" outlineLevel="0" collapsed="false">
      <c r="K2787" s="24" t="n">
        <f aca="false">IF(Search!$B$3="",0,IF($A2787="",N(K2786),IF(ISNUMBER(SEARCH(Search!$B$3,$A2787&amp;"")),N(K2786)+1,N(K2786))))</f>
        <v>0</v>
      </c>
    </row>
    <row r="2788" customFormat="false" ht="15" hidden="false" customHeight="false" outlineLevel="0" collapsed="false">
      <c r="K2788" s="24" t="n">
        <f aca="false">IF(Search!$B$3="",0,IF($A2788="",N(K2787),IF(ISNUMBER(SEARCH(Search!$B$3,$A2788&amp;"")),N(K2787)+1,N(K2787))))</f>
        <v>0</v>
      </c>
    </row>
    <row r="2789" customFormat="false" ht="15" hidden="false" customHeight="false" outlineLevel="0" collapsed="false">
      <c r="K2789" s="24" t="n">
        <f aca="false">IF(Search!$B$3="",0,IF($A2789="",N(K2788),IF(ISNUMBER(SEARCH(Search!$B$3,$A2789&amp;"")),N(K2788)+1,N(K2788))))</f>
        <v>0</v>
      </c>
    </row>
    <row r="2790" customFormat="false" ht="15" hidden="false" customHeight="false" outlineLevel="0" collapsed="false">
      <c r="K2790" s="24" t="n">
        <f aca="false">IF(Search!$B$3="",0,IF($A2790="",N(K2789),IF(ISNUMBER(SEARCH(Search!$B$3,$A2790&amp;"")),N(K2789)+1,N(K2789))))</f>
        <v>0</v>
      </c>
    </row>
    <row r="2791" customFormat="false" ht="15" hidden="false" customHeight="false" outlineLevel="0" collapsed="false">
      <c r="K2791" s="24" t="n">
        <f aca="false">IF(Search!$B$3="",0,IF($A2791="",N(K2790),IF(ISNUMBER(SEARCH(Search!$B$3,$A2791&amp;"")),N(K2790)+1,N(K2790))))</f>
        <v>0</v>
      </c>
    </row>
    <row r="2792" customFormat="false" ht="15" hidden="false" customHeight="false" outlineLevel="0" collapsed="false">
      <c r="K2792" s="24" t="n">
        <f aca="false">IF(Search!$B$3="",0,IF($A2792="",N(K2791),IF(ISNUMBER(SEARCH(Search!$B$3,$A2792&amp;"")),N(K2791)+1,N(K2791))))</f>
        <v>0</v>
      </c>
    </row>
    <row r="2793" customFormat="false" ht="15" hidden="false" customHeight="false" outlineLevel="0" collapsed="false">
      <c r="K2793" s="24" t="n">
        <f aca="false">IF(Search!$B$3="",0,IF($A2793="",N(K2792),IF(ISNUMBER(SEARCH(Search!$B$3,$A2793&amp;"")),N(K2792)+1,N(K2792))))</f>
        <v>0</v>
      </c>
    </row>
    <row r="2794" customFormat="false" ht="15" hidden="false" customHeight="false" outlineLevel="0" collapsed="false">
      <c r="K2794" s="24" t="n">
        <f aca="false">IF(Search!$B$3="",0,IF($A2794="",N(K2793),IF(ISNUMBER(SEARCH(Search!$B$3,$A2794&amp;"")),N(K2793)+1,N(K2793))))</f>
        <v>0</v>
      </c>
    </row>
    <row r="2795" customFormat="false" ht="15" hidden="false" customHeight="false" outlineLevel="0" collapsed="false">
      <c r="K2795" s="24" t="n">
        <f aca="false">IF(Search!$B$3="",0,IF($A2795="",N(K2794),IF(ISNUMBER(SEARCH(Search!$B$3,$A2795&amp;"")),N(K2794)+1,N(K2794))))</f>
        <v>0</v>
      </c>
    </row>
    <row r="2796" customFormat="false" ht="15" hidden="false" customHeight="false" outlineLevel="0" collapsed="false">
      <c r="K2796" s="24" t="n">
        <f aca="false">IF(Search!$B$3="",0,IF($A2796="",N(K2795),IF(ISNUMBER(SEARCH(Search!$B$3,$A2796&amp;"")),N(K2795)+1,N(K2795))))</f>
        <v>0</v>
      </c>
    </row>
    <row r="2797" customFormat="false" ht="15" hidden="false" customHeight="false" outlineLevel="0" collapsed="false">
      <c r="K2797" s="24" t="n">
        <f aca="false">IF(Search!$B$3="",0,IF($A2797="",N(K2796),IF(ISNUMBER(SEARCH(Search!$B$3,$A2797&amp;"")),N(K2796)+1,N(K2796))))</f>
        <v>0</v>
      </c>
    </row>
    <row r="2798" customFormat="false" ht="15" hidden="false" customHeight="false" outlineLevel="0" collapsed="false">
      <c r="K2798" s="24" t="n">
        <f aca="false">IF(Search!$B$3="",0,IF($A2798="",N(K2797),IF(ISNUMBER(SEARCH(Search!$B$3,$A2798&amp;"")),N(K2797)+1,N(K2797))))</f>
        <v>0</v>
      </c>
    </row>
    <row r="2799" customFormat="false" ht="15" hidden="false" customHeight="false" outlineLevel="0" collapsed="false">
      <c r="K2799" s="24" t="n">
        <f aca="false">IF(Search!$B$3="",0,IF($A2799="",N(K2798),IF(ISNUMBER(SEARCH(Search!$B$3,$A2799&amp;"")),N(K2798)+1,N(K2798))))</f>
        <v>0</v>
      </c>
    </row>
    <row r="2800" customFormat="false" ht="15" hidden="false" customHeight="false" outlineLevel="0" collapsed="false">
      <c r="K2800" s="24" t="n">
        <f aca="false">IF(Search!$B$3="",0,IF($A2800="",N(K2799),IF(ISNUMBER(SEARCH(Search!$B$3,$A2800&amp;"")),N(K2799)+1,N(K2799))))</f>
        <v>0</v>
      </c>
    </row>
    <row r="2801" customFormat="false" ht="15" hidden="false" customHeight="false" outlineLevel="0" collapsed="false">
      <c r="K2801" s="24" t="n">
        <f aca="false">IF(Search!$B$3="",0,IF($A2801="",N(K2800),IF(ISNUMBER(SEARCH(Search!$B$3,$A2801&amp;"")),N(K2800)+1,N(K2800))))</f>
        <v>0</v>
      </c>
    </row>
    <row r="2802" customFormat="false" ht="15" hidden="false" customHeight="false" outlineLevel="0" collapsed="false">
      <c r="K2802" s="24" t="n">
        <f aca="false">IF(Search!$B$3="",0,IF($A2802="",N(K2801),IF(ISNUMBER(SEARCH(Search!$B$3,$A2802&amp;"")),N(K2801)+1,N(K2801))))</f>
        <v>0</v>
      </c>
    </row>
    <row r="2803" customFormat="false" ht="15" hidden="false" customHeight="false" outlineLevel="0" collapsed="false">
      <c r="K2803" s="24" t="n">
        <f aca="false">IF(Search!$B$3="",0,IF($A2803="",N(K2802),IF(ISNUMBER(SEARCH(Search!$B$3,$A2803&amp;"")),N(K2802)+1,N(K2802))))</f>
        <v>0</v>
      </c>
    </row>
    <row r="2804" customFormat="false" ht="15" hidden="false" customHeight="false" outlineLevel="0" collapsed="false">
      <c r="K2804" s="24" t="n">
        <f aca="false">IF(Search!$B$3="",0,IF($A2804="",N(K2803),IF(ISNUMBER(SEARCH(Search!$B$3,$A2804&amp;"")),N(K2803)+1,N(K2803))))</f>
        <v>0</v>
      </c>
    </row>
    <row r="2805" customFormat="false" ht="15" hidden="false" customHeight="false" outlineLevel="0" collapsed="false">
      <c r="K2805" s="24" t="n">
        <f aca="false">IF(Search!$B$3="",0,IF($A2805="",N(K2804),IF(ISNUMBER(SEARCH(Search!$B$3,$A2805&amp;"")),N(K2804)+1,N(K2804))))</f>
        <v>0</v>
      </c>
    </row>
    <row r="2806" customFormat="false" ht="15" hidden="false" customHeight="false" outlineLevel="0" collapsed="false">
      <c r="K2806" s="24" t="n">
        <f aca="false">IF(Search!$B$3="",0,IF($A2806="",N(K2805),IF(ISNUMBER(SEARCH(Search!$B$3,$A2806&amp;"")),N(K2805)+1,N(K2805))))</f>
        <v>0</v>
      </c>
    </row>
    <row r="2807" customFormat="false" ht="15" hidden="false" customHeight="false" outlineLevel="0" collapsed="false">
      <c r="K2807" s="24" t="n">
        <f aca="false">IF(Search!$B$3="",0,IF($A2807="",N(K2806),IF(ISNUMBER(SEARCH(Search!$B$3,$A2807&amp;"")),N(K2806)+1,N(K2806))))</f>
        <v>0</v>
      </c>
    </row>
    <row r="2808" customFormat="false" ht="15" hidden="false" customHeight="false" outlineLevel="0" collapsed="false">
      <c r="K2808" s="24" t="n">
        <f aca="false">IF(Search!$B$3="",0,IF($A2808="",N(K2807),IF(ISNUMBER(SEARCH(Search!$B$3,$A2808&amp;"")),N(K2807)+1,N(K2807))))</f>
        <v>0</v>
      </c>
    </row>
    <row r="2809" customFormat="false" ht="15" hidden="false" customHeight="false" outlineLevel="0" collapsed="false">
      <c r="K2809" s="24" t="n">
        <f aca="false">IF(Search!$B$3="",0,IF($A2809="",N(K2808),IF(ISNUMBER(SEARCH(Search!$B$3,$A2809&amp;"")),N(K2808)+1,N(K2808))))</f>
        <v>0</v>
      </c>
    </row>
    <row r="2810" customFormat="false" ht="15" hidden="false" customHeight="false" outlineLevel="0" collapsed="false">
      <c r="K2810" s="24" t="n">
        <f aca="false">IF(Search!$B$3="",0,IF($A2810="",N(K2809),IF(ISNUMBER(SEARCH(Search!$B$3,$A2810&amp;"")),N(K2809)+1,N(K2809))))</f>
        <v>0</v>
      </c>
    </row>
    <row r="2811" customFormat="false" ht="15" hidden="false" customHeight="false" outlineLevel="0" collapsed="false">
      <c r="K2811" s="24" t="n">
        <f aca="false">IF(Search!$B$3="",0,IF($A2811="",N(K2810),IF(ISNUMBER(SEARCH(Search!$B$3,$A2811&amp;"")),N(K2810)+1,N(K2810))))</f>
        <v>0</v>
      </c>
    </row>
    <row r="2812" customFormat="false" ht="15" hidden="false" customHeight="false" outlineLevel="0" collapsed="false">
      <c r="K2812" s="24" t="n">
        <f aca="false">IF(Search!$B$3="",0,IF($A2812="",N(K2811),IF(ISNUMBER(SEARCH(Search!$B$3,$A2812&amp;"")),N(K2811)+1,N(K2811))))</f>
        <v>0</v>
      </c>
    </row>
    <row r="2813" customFormat="false" ht="15" hidden="false" customHeight="false" outlineLevel="0" collapsed="false">
      <c r="K2813" s="24" t="n">
        <f aca="false">IF(Search!$B$3="",0,IF($A2813="",N(K2812),IF(ISNUMBER(SEARCH(Search!$B$3,$A2813&amp;"")),N(K2812)+1,N(K2812))))</f>
        <v>0</v>
      </c>
    </row>
    <row r="2814" customFormat="false" ht="15" hidden="false" customHeight="false" outlineLevel="0" collapsed="false">
      <c r="K2814" s="24" t="n">
        <f aca="false">IF(Search!$B$3="",0,IF($A2814="",N(K2813),IF(ISNUMBER(SEARCH(Search!$B$3,$A2814&amp;"")),N(K2813)+1,N(K2813))))</f>
        <v>0</v>
      </c>
    </row>
    <row r="2815" customFormat="false" ht="15" hidden="false" customHeight="false" outlineLevel="0" collapsed="false">
      <c r="K2815" s="24" t="n">
        <f aca="false">IF(Search!$B$3="",0,IF($A2815="",N(K2814),IF(ISNUMBER(SEARCH(Search!$B$3,$A2815&amp;"")),N(K2814)+1,N(K2814))))</f>
        <v>0</v>
      </c>
    </row>
    <row r="2816" customFormat="false" ht="15" hidden="false" customHeight="false" outlineLevel="0" collapsed="false">
      <c r="K2816" s="24" t="n">
        <f aca="false">IF(Search!$B$3="",0,IF($A2816="",N(K2815),IF(ISNUMBER(SEARCH(Search!$B$3,$A2816&amp;"")),N(K2815)+1,N(K2815))))</f>
        <v>0</v>
      </c>
    </row>
    <row r="2817" customFormat="false" ht="15" hidden="false" customHeight="false" outlineLevel="0" collapsed="false">
      <c r="K2817" s="24" t="n">
        <f aca="false">IF(Search!$B$3="",0,IF($A2817="",N(K2816),IF(ISNUMBER(SEARCH(Search!$B$3,$A2817&amp;"")),N(K2816)+1,N(K2816))))</f>
        <v>0</v>
      </c>
    </row>
    <row r="2818" customFormat="false" ht="15" hidden="false" customHeight="false" outlineLevel="0" collapsed="false">
      <c r="K2818" s="24" t="n">
        <f aca="false">IF(Search!$B$3="",0,IF($A2818="",N(K2817),IF(ISNUMBER(SEARCH(Search!$B$3,$A2818&amp;"")),N(K2817)+1,N(K2817))))</f>
        <v>0</v>
      </c>
    </row>
    <row r="2819" customFormat="false" ht="15" hidden="false" customHeight="false" outlineLevel="0" collapsed="false">
      <c r="K2819" s="24" t="n">
        <f aca="false">IF(Search!$B$3="",0,IF($A2819="",N(K2818),IF(ISNUMBER(SEARCH(Search!$B$3,$A2819&amp;"")),N(K2818)+1,N(K2818))))</f>
        <v>0</v>
      </c>
    </row>
    <row r="2820" customFormat="false" ht="15" hidden="false" customHeight="false" outlineLevel="0" collapsed="false">
      <c r="K2820" s="24" t="n">
        <f aca="false">IF(Search!$B$3="",0,IF($A2820="",N(K2819),IF(ISNUMBER(SEARCH(Search!$B$3,$A2820&amp;"")),N(K2819)+1,N(K2819))))</f>
        <v>0</v>
      </c>
    </row>
    <row r="2821" customFormat="false" ht="15" hidden="false" customHeight="false" outlineLevel="0" collapsed="false">
      <c r="K2821" s="24" t="n">
        <f aca="false">IF(Search!$B$3="",0,IF($A2821="",N(K2820),IF(ISNUMBER(SEARCH(Search!$B$3,$A2821&amp;"")),N(K2820)+1,N(K2820))))</f>
        <v>0</v>
      </c>
    </row>
    <row r="2822" customFormat="false" ht="15" hidden="false" customHeight="false" outlineLevel="0" collapsed="false">
      <c r="K2822" s="24" t="n">
        <f aca="false">IF(Search!$B$3="",0,IF($A2822="",N(K2821),IF(ISNUMBER(SEARCH(Search!$B$3,$A2822&amp;"")),N(K2821)+1,N(K2821))))</f>
        <v>0</v>
      </c>
    </row>
    <row r="2823" customFormat="false" ht="15" hidden="false" customHeight="false" outlineLevel="0" collapsed="false">
      <c r="K2823" s="24" t="n">
        <f aca="false">IF(Search!$B$3="",0,IF($A2823="",N(K2822),IF(ISNUMBER(SEARCH(Search!$B$3,$A2823&amp;"")),N(K2822)+1,N(K2822))))</f>
        <v>0</v>
      </c>
    </row>
    <row r="2824" customFormat="false" ht="15" hidden="false" customHeight="false" outlineLevel="0" collapsed="false">
      <c r="K2824" s="24" t="n">
        <f aca="false">IF(Search!$B$3="",0,IF($A2824="",N(K2823),IF(ISNUMBER(SEARCH(Search!$B$3,$A2824&amp;"")),N(K2823)+1,N(K2823))))</f>
        <v>0</v>
      </c>
    </row>
    <row r="2825" customFormat="false" ht="15" hidden="false" customHeight="false" outlineLevel="0" collapsed="false">
      <c r="K2825" s="24" t="n">
        <f aca="false">IF(Search!$B$3="",0,IF($A2825="",N(K2824),IF(ISNUMBER(SEARCH(Search!$B$3,$A2825&amp;"")),N(K2824)+1,N(K2824))))</f>
        <v>0</v>
      </c>
    </row>
    <row r="2826" customFormat="false" ht="15" hidden="false" customHeight="false" outlineLevel="0" collapsed="false">
      <c r="K2826" s="24" t="n">
        <f aca="false">IF(Search!$B$3="",0,IF($A2826="",N(K2825),IF(ISNUMBER(SEARCH(Search!$B$3,$A2826&amp;"")),N(K2825)+1,N(K2825))))</f>
        <v>0</v>
      </c>
    </row>
    <row r="2827" customFormat="false" ht="15" hidden="false" customHeight="false" outlineLevel="0" collapsed="false">
      <c r="K2827" s="24" t="n">
        <f aca="false">IF(Search!$B$3="",0,IF($A2827="",N(K2826),IF(ISNUMBER(SEARCH(Search!$B$3,$A2827&amp;"")),N(K2826)+1,N(K2826))))</f>
        <v>0</v>
      </c>
    </row>
    <row r="2828" customFormat="false" ht="15" hidden="false" customHeight="false" outlineLevel="0" collapsed="false">
      <c r="K2828" s="24" t="n">
        <f aca="false">IF(Search!$B$3="",0,IF($A2828="",N(K2827),IF(ISNUMBER(SEARCH(Search!$B$3,$A2828&amp;"")),N(K2827)+1,N(K2827))))</f>
        <v>0</v>
      </c>
    </row>
    <row r="2829" customFormat="false" ht="15" hidden="false" customHeight="false" outlineLevel="0" collapsed="false">
      <c r="K2829" s="24" t="n">
        <f aca="false">IF(Search!$B$3="",0,IF($A2829="",N(K2828),IF(ISNUMBER(SEARCH(Search!$B$3,$A2829&amp;"")),N(K2828)+1,N(K2828))))</f>
        <v>0</v>
      </c>
    </row>
    <row r="2830" customFormat="false" ht="15" hidden="false" customHeight="false" outlineLevel="0" collapsed="false">
      <c r="K2830" s="24" t="n">
        <f aca="false">IF(Search!$B$3="",0,IF($A2830="",N(K2829),IF(ISNUMBER(SEARCH(Search!$B$3,$A2830&amp;"")),N(K2829)+1,N(K2829))))</f>
        <v>0</v>
      </c>
    </row>
    <row r="2831" customFormat="false" ht="15" hidden="false" customHeight="false" outlineLevel="0" collapsed="false">
      <c r="K2831" s="24" t="n">
        <f aca="false">IF(Search!$B$3="",0,IF($A2831="",N(K2830),IF(ISNUMBER(SEARCH(Search!$B$3,$A2831&amp;"")),N(K2830)+1,N(K2830))))</f>
        <v>0</v>
      </c>
    </row>
    <row r="2832" customFormat="false" ht="15" hidden="false" customHeight="false" outlineLevel="0" collapsed="false">
      <c r="K2832" s="24" t="n">
        <f aca="false">IF(Search!$B$3="",0,IF($A2832="",N(K2831),IF(ISNUMBER(SEARCH(Search!$B$3,$A2832&amp;"")),N(K2831)+1,N(K2831))))</f>
        <v>0</v>
      </c>
    </row>
    <row r="2833" customFormat="false" ht="15" hidden="false" customHeight="false" outlineLevel="0" collapsed="false">
      <c r="K2833" s="24" t="n">
        <f aca="false">IF(Search!$B$3="",0,IF($A2833="",N(K2832),IF(ISNUMBER(SEARCH(Search!$B$3,$A2833&amp;"")),N(K2832)+1,N(K2832))))</f>
        <v>0</v>
      </c>
    </row>
    <row r="2834" customFormat="false" ht="15" hidden="false" customHeight="false" outlineLevel="0" collapsed="false">
      <c r="K2834" s="24" t="n">
        <f aca="false">IF(Search!$B$3="",0,IF($A2834="",N(K2833),IF(ISNUMBER(SEARCH(Search!$B$3,$A2834&amp;"")),N(K2833)+1,N(K2833))))</f>
        <v>0</v>
      </c>
    </row>
    <row r="2835" customFormat="false" ht="15" hidden="false" customHeight="false" outlineLevel="0" collapsed="false">
      <c r="K2835" s="24" t="n">
        <f aca="false">IF(Search!$B$3="",0,IF($A2835="",N(K2834),IF(ISNUMBER(SEARCH(Search!$B$3,$A2835&amp;"")),N(K2834)+1,N(K2834))))</f>
        <v>0</v>
      </c>
    </row>
    <row r="2836" customFormat="false" ht="15" hidden="false" customHeight="false" outlineLevel="0" collapsed="false">
      <c r="K2836" s="24" t="n">
        <f aca="false">IF(Search!$B$3="",0,IF($A2836="",N(K2835),IF(ISNUMBER(SEARCH(Search!$B$3,$A2836&amp;"")),N(K2835)+1,N(K2835))))</f>
        <v>0</v>
      </c>
    </row>
    <row r="2837" customFormat="false" ht="15" hidden="false" customHeight="false" outlineLevel="0" collapsed="false">
      <c r="K2837" s="24" t="n">
        <f aca="false">IF(Search!$B$3="",0,IF($A2837="",N(K2836),IF(ISNUMBER(SEARCH(Search!$B$3,$A2837&amp;"")),N(K2836)+1,N(K2836))))</f>
        <v>0</v>
      </c>
    </row>
    <row r="2838" customFormat="false" ht="15" hidden="false" customHeight="false" outlineLevel="0" collapsed="false">
      <c r="K2838" s="24" t="n">
        <f aca="false">IF(Search!$B$3="",0,IF($A2838="",N(K2837),IF(ISNUMBER(SEARCH(Search!$B$3,$A2838&amp;"")),N(K2837)+1,N(K2837))))</f>
        <v>0</v>
      </c>
    </row>
    <row r="2839" customFormat="false" ht="15" hidden="false" customHeight="false" outlineLevel="0" collapsed="false">
      <c r="K2839" s="24" t="n">
        <f aca="false">IF(Search!$B$3="",0,IF($A2839="",N(K2838),IF(ISNUMBER(SEARCH(Search!$B$3,$A2839&amp;"")),N(K2838)+1,N(K2838))))</f>
        <v>0</v>
      </c>
    </row>
    <row r="2840" customFormat="false" ht="15" hidden="false" customHeight="false" outlineLevel="0" collapsed="false">
      <c r="K2840" s="24" t="n">
        <f aca="false">IF(Search!$B$3="",0,IF($A2840="",N(K2839),IF(ISNUMBER(SEARCH(Search!$B$3,$A2840&amp;"")),N(K2839)+1,N(K2839))))</f>
        <v>0</v>
      </c>
    </row>
    <row r="2841" customFormat="false" ht="15" hidden="false" customHeight="false" outlineLevel="0" collapsed="false">
      <c r="K2841" s="24" t="n">
        <f aca="false">IF(Search!$B$3="",0,IF($A2841="",N(K2840),IF(ISNUMBER(SEARCH(Search!$B$3,$A2841&amp;"")),N(K2840)+1,N(K2840))))</f>
        <v>0</v>
      </c>
    </row>
    <row r="2842" customFormat="false" ht="15" hidden="false" customHeight="false" outlineLevel="0" collapsed="false">
      <c r="K2842" s="24" t="n">
        <f aca="false">IF(Search!$B$3="",0,IF($A2842="",N(K2841),IF(ISNUMBER(SEARCH(Search!$B$3,$A2842&amp;"")),N(K2841)+1,N(K2841))))</f>
        <v>0</v>
      </c>
    </row>
    <row r="2843" customFormat="false" ht="15" hidden="false" customHeight="false" outlineLevel="0" collapsed="false">
      <c r="K2843" s="24" t="n">
        <f aca="false">IF(Search!$B$3="",0,IF($A2843="",N(K2842),IF(ISNUMBER(SEARCH(Search!$B$3,$A2843&amp;"")),N(K2842)+1,N(K2842))))</f>
        <v>0</v>
      </c>
    </row>
    <row r="2844" customFormat="false" ht="15" hidden="false" customHeight="false" outlineLevel="0" collapsed="false">
      <c r="K2844" s="24" t="n">
        <f aca="false">IF(Search!$B$3="",0,IF($A2844="",N(K2843),IF(ISNUMBER(SEARCH(Search!$B$3,$A2844&amp;"")),N(K2843)+1,N(K2843))))</f>
        <v>0</v>
      </c>
    </row>
    <row r="2845" customFormat="false" ht="15" hidden="false" customHeight="false" outlineLevel="0" collapsed="false">
      <c r="K2845" s="24" t="n">
        <f aca="false">IF(Search!$B$3="",0,IF($A2845="",N(K2844),IF(ISNUMBER(SEARCH(Search!$B$3,$A2845&amp;"")),N(K2844)+1,N(K2844))))</f>
        <v>0</v>
      </c>
    </row>
    <row r="2846" customFormat="false" ht="15" hidden="false" customHeight="false" outlineLevel="0" collapsed="false">
      <c r="K2846" s="24" t="n">
        <f aca="false">IF(Search!$B$3="",0,IF($A2846="",N(K2845),IF(ISNUMBER(SEARCH(Search!$B$3,$A2846&amp;"")),N(K2845)+1,N(K2845))))</f>
        <v>0</v>
      </c>
    </row>
    <row r="2847" customFormat="false" ht="15" hidden="false" customHeight="false" outlineLevel="0" collapsed="false">
      <c r="K2847" s="24" t="n">
        <f aca="false">IF(Search!$B$3="",0,IF($A2847="",N(K2846),IF(ISNUMBER(SEARCH(Search!$B$3,$A2847&amp;"")),N(K2846)+1,N(K2846))))</f>
        <v>0</v>
      </c>
    </row>
    <row r="2848" customFormat="false" ht="15" hidden="false" customHeight="false" outlineLevel="0" collapsed="false">
      <c r="K2848" s="24" t="n">
        <f aca="false">IF(Search!$B$3="",0,IF($A2848="",N(K2847),IF(ISNUMBER(SEARCH(Search!$B$3,$A2848&amp;"")),N(K2847)+1,N(K2847))))</f>
        <v>0</v>
      </c>
    </row>
    <row r="2849" customFormat="false" ht="15" hidden="false" customHeight="false" outlineLevel="0" collapsed="false">
      <c r="K2849" s="24" t="n">
        <f aca="false">IF(Search!$B$3="",0,IF($A2849="",N(K2848),IF(ISNUMBER(SEARCH(Search!$B$3,$A2849&amp;"")),N(K2848)+1,N(K2848))))</f>
        <v>0</v>
      </c>
    </row>
    <row r="2850" customFormat="false" ht="15" hidden="false" customHeight="false" outlineLevel="0" collapsed="false">
      <c r="K2850" s="24" t="n">
        <f aca="false">IF(Search!$B$3="",0,IF($A2850="",N(K2849),IF(ISNUMBER(SEARCH(Search!$B$3,$A2850&amp;"")),N(K2849)+1,N(K2849))))</f>
        <v>0</v>
      </c>
    </row>
    <row r="2851" customFormat="false" ht="15" hidden="false" customHeight="false" outlineLevel="0" collapsed="false">
      <c r="K2851" s="24" t="n">
        <f aca="false">IF(Search!$B$3="",0,IF($A2851="",N(K2850),IF(ISNUMBER(SEARCH(Search!$B$3,$A2851&amp;"")),N(K2850)+1,N(K2850))))</f>
        <v>0</v>
      </c>
    </row>
    <row r="2852" customFormat="false" ht="15" hidden="false" customHeight="false" outlineLevel="0" collapsed="false">
      <c r="K2852" s="24" t="n">
        <f aca="false">IF(Search!$B$3="",0,IF($A2852="",N(K2851),IF(ISNUMBER(SEARCH(Search!$B$3,$A2852&amp;"")),N(K2851)+1,N(K2851))))</f>
        <v>0</v>
      </c>
    </row>
    <row r="2853" customFormat="false" ht="15" hidden="false" customHeight="false" outlineLevel="0" collapsed="false">
      <c r="K2853" s="24" t="n">
        <f aca="false">IF(Search!$B$3="",0,IF($A2853="",N(K2852),IF(ISNUMBER(SEARCH(Search!$B$3,$A2853&amp;"")),N(K2852)+1,N(K2852))))</f>
        <v>0</v>
      </c>
    </row>
    <row r="2854" customFormat="false" ht="15" hidden="false" customHeight="false" outlineLevel="0" collapsed="false">
      <c r="K2854" s="24" t="n">
        <f aca="false">IF(Search!$B$3="",0,IF($A2854="",N(K2853),IF(ISNUMBER(SEARCH(Search!$B$3,$A2854&amp;"")),N(K2853)+1,N(K2853))))</f>
        <v>0</v>
      </c>
    </row>
    <row r="2855" customFormat="false" ht="15" hidden="false" customHeight="false" outlineLevel="0" collapsed="false">
      <c r="K2855" s="24" t="n">
        <f aca="false">IF(Search!$B$3="",0,IF($A2855="",N(K2854),IF(ISNUMBER(SEARCH(Search!$B$3,$A2855&amp;"")),N(K2854)+1,N(K2854))))</f>
        <v>0</v>
      </c>
    </row>
    <row r="2856" customFormat="false" ht="15" hidden="false" customHeight="false" outlineLevel="0" collapsed="false">
      <c r="K2856" s="24" t="n">
        <f aca="false">IF(Search!$B$3="",0,IF($A2856="",N(K2855),IF(ISNUMBER(SEARCH(Search!$B$3,$A2856&amp;"")),N(K2855)+1,N(K2855))))</f>
        <v>0</v>
      </c>
    </row>
    <row r="2857" customFormat="false" ht="15" hidden="false" customHeight="false" outlineLevel="0" collapsed="false">
      <c r="K2857" s="24" t="n">
        <f aca="false">IF(Search!$B$3="",0,IF($A2857="",N(K2856),IF(ISNUMBER(SEARCH(Search!$B$3,$A2857&amp;"")),N(K2856)+1,N(K2856))))</f>
        <v>0</v>
      </c>
    </row>
    <row r="2858" customFormat="false" ht="15" hidden="false" customHeight="false" outlineLevel="0" collapsed="false">
      <c r="K2858" s="24" t="n">
        <f aca="false">IF(Search!$B$3="",0,IF($A2858="",N(K2857),IF(ISNUMBER(SEARCH(Search!$B$3,$A2858&amp;"")),N(K2857)+1,N(K2857))))</f>
        <v>0</v>
      </c>
    </row>
    <row r="2859" customFormat="false" ht="15" hidden="false" customHeight="false" outlineLevel="0" collapsed="false">
      <c r="K2859" s="24" t="n">
        <f aca="false">IF(Search!$B$3="",0,IF($A2859="",N(K2858),IF(ISNUMBER(SEARCH(Search!$B$3,$A2859&amp;"")),N(K2858)+1,N(K2858))))</f>
        <v>0</v>
      </c>
    </row>
    <row r="2860" customFormat="false" ht="15" hidden="false" customHeight="false" outlineLevel="0" collapsed="false">
      <c r="K2860" s="24" t="n">
        <f aca="false">IF(Search!$B$3="",0,IF($A2860="",N(K2859),IF(ISNUMBER(SEARCH(Search!$B$3,$A2860&amp;"")),N(K2859)+1,N(K2859))))</f>
        <v>0</v>
      </c>
    </row>
    <row r="2861" customFormat="false" ht="15" hidden="false" customHeight="false" outlineLevel="0" collapsed="false">
      <c r="K2861" s="24" t="n">
        <f aca="false">IF(Search!$B$3="",0,IF($A2861="",N(K2860),IF(ISNUMBER(SEARCH(Search!$B$3,$A2861&amp;"")),N(K2860)+1,N(K2860))))</f>
        <v>0</v>
      </c>
    </row>
    <row r="2862" customFormat="false" ht="15" hidden="false" customHeight="false" outlineLevel="0" collapsed="false">
      <c r="K2862" s="24" t="n">
        <f aca="false">IF(Search!$B$3="",0,IF($A2862="",N(K2861),IF(ISNUMBER(SEARCH(Search!$B$3,$A2862&amp;"")),N(K2861)+1,N(K2861))))</f>
        <v>0</v>
      </c>
    </row>
    <row r="2863" customFormat="false" ht="15" hidden="false" customHeight="false" outlineLevel="0" collapsed="false">
      <c r="K2863" s="24" t="n">
        <f aca="false">IF(Search!$B$3="",0,IF($A2863="",N(K2862),IF(ISNUMBER(SEARCH(Search!$B$3,$A2863&amp;"")),N(K2862)+1,N(K2862))))</f>
        <v>0</v>
      </c>
    </row>
    <row r="2864" customFormat="false" ht="15" hidden="false" customHeight="false" outlineLevel="0" collapsed="false">
      <c r="K2864" s="24" t="n">
        <f aca="false">IF(Search!$B$3="",0,IF($A2864="",N(K2863),IF(ISNUMBER(SEARCH(Search!$B$3,$A2864&amp;"")),N(K2863)+1,N(K2863))))</f>
        <v>0</v>
      </c>
    </row>
    <row r="2865" customFormat="false" ht="15" hidden="false" customHeight="false" outlineLevel="0" collapsed="false">
      <c r="K2865" s="24" t="n">
        <f aca="false">IF(Search!$B$3="",0,IF($A2865="",N(K2864),IF(ISNUMBER(SEARCH(Search!$B$3,$A2865&amp;"")),N(K2864)+1,N(K2864))))</f>
        <v>0</v>
      </c>
    </row>
    <row r="2866" customFormat="false" ht="15" hidden="false" customHeight="false" outlineLevel="0" collapsed="false">
      <c r="K2866" s="24" t="n">
        <f aca="false">IF(Search!$B$3="",0,IF($A2866="",N(K2865),IF(ISNUMBER(SEARCH(Search!$B$3,$A2866&amp;"")),N(K2865)+1,N(K2865))))</f>
        <v>0</v>
      </c>
    </row>
    <row r="2867" customFormat="false" ht="15" hidden="false" customHeight="false" outlineLevel="0" collapsed="false">
      <c r="K2867" s="24" t="n">
        <f aca="false">IF(Search!$B$3="",0,IF($A2867="",N(K2866),IF(ISNUMBER(SEARCH(Search!$B$3,$A2867&amp;"")),N(K2866)+1,N(K2866))))</f>
        <v>0</v>
      </c>
    </row>
    <row r="2868" customFormat="false" ht="15" hidden="false" customHeight="false" outlineLevel="0" collapsed="false">
      <c r="K2868" s="24" t="n">
        <f aca="false">IF(Search!$B$3="",0,IF($A2868="",N(K2867),IF(ISNUMBER(SEARCH(Search!$B$3,$A2868&amp;"")),N(K2867)+1,N(K2867))))</f>
        <v>0</v>
      </c>
    </row>
    <row r="2869" customFormat="false" ht="15" hidden="false" customHeight="false" outlineLevel="0" collapsed="false">
      <c r="K2869" s="24" t="n">
        <f aca="false">IF(Search!$B$3="",0,IF($A2869="",N(K2868),IF(ISNUMBER(SEARCH(Search!$B$3,$A2869&amp;"")),N(K2868)+1,N(K2868))))</f>
        <v>0</v>
      </c>
    </row>
    <row r="2870" customFormat="false" ht="15" hidden="false" customHeight="false" outlineLevel="0" collapsed="false">
      <c r="K2870" s="24" t="n">
        <f aca="false">IF(Search!$B$3="",0,IF($A2870="",N(K2869),IF(ISNUMBER(SEARCH(Search!$B$3,$A2870&amp;"")),N(K2869)+1,N(K2869))))</f>
        <v>0</v>
      </c>
    </row>
    <row r="2871" customFormat="false" ht="15" hidden="false" customHeight="false" outlineLevel="0" collapsed="false">
      <c r="K2871" s="24" t="n">
        <f aca="false">IF(Search!$B$3="",0,IF($A2871="",N(K2870),IF(ISNUMBER(SEARCH(Search!$B$3,$A2871&amp;"")),N(K2870)+1,N(K2870))))</f>
        <v>0</v>
      </c>
    </row>
    <row r="2872" customFormat="false" ht="15" hidden="false" customHeight="false" outlineLevel="0" collapsed="false">
      <c r="K2872" s="24" t="n">
        <f aca="false">IF(Search!$B$3="",0,IF($A2872="",N(K2871),IF(ISNUMBER(SEARCH(Search!$B$3,$A2872&amp;"")),N(K2871)+1,N(K2871))))</f>
        <v>0</v>
      </c>
    </row>
    <row r="2873" customFormat="false" ht="15" hidden="false" customHeight="false" outlineLevel="0" collapsed="false">
      <c r="K2873" s="24" t="n">
        <f aca="false">IF(Search!$B$3="",0,IF($A2873="",N(K2872),IF(ISNUMBER(SEARCH(Search!$B$3,$A2873&amp;"")),N(K2872)+1,N(K2872))))</f>
        <v>0</v>
      </c>
    </row>
    <row r="2874" customFormat="false" ht="15" hidden="false" customHeight="false" outlineLevel="0" collapsed="false">
      <c r="K2874" s="24" t="n">
        <f aca="false">IF(Search!$B$3="",0,IF($A2874="",N(K2873),IF(ISNUMBER(SEARCH(Search!$B$3,$A2874&amp;"")),N(K2873)+1,N(K2873))))</f>
        <v>0</v>
      </c>
    </row>
    <row r="2875" customFormat="false" ht="15" hidden="false" customHeight="false" outlineLevel="0" collapsed="false">
      <c r="K2875" s="24" t="n">
        <f aca="false">IF(Search!$B$3="",0,IF($A2875="",N(K2874),IF(ISNUMBER(SEARCH(Search!$B$3,$A2875&amp;"")),N(K2874)+1,N(K2874))))</f>
        <v>0</v>
      </c>
    </row>
    <row r="2876" customFormat="false" ht="15" hidden="false" customHeight="false" outlineLevel="0" collapsed="false">
      <c r="K2876" s="24" t="n">
        <f aca="false">IF(Search!$B$3="",0,IF($A2876="",N(K2875),IF(ISNUMBER(SEARCH(Search!$B$3,$A2876&amp;"")),N(K2875)+1,N(K2875))))</f>
        <v>0</v>
      </c>
    </row>
    <row r="2877" customFormat="false" ht="15" hidden="false" customHeight="false" outlineLevel="0" collapsed="false">
      <c r="K2877" s="24" t="n">
        <f aca="false">IF(Search!$B$3="",0,IF($A2877="",N(K2876),IF(ISNUMBER(SEARCH(Search!$B$3,$A2877&amp;"")),N(K2876)+1,N(K2876))))</f>
        <v>0</v>
      </c>
    </row>
    <row r="2878" customFormat="false" ht="15" hidden="false" customHeight="false" outlineLevel="0" collapsed="false">
      <c r="K2878" s="24" t="n">
        <f aca="false">IF(Search!$B$3="",0,IF($A2878="",N(K2877),IF(ISNUMBER(SEARCH(Search!$B$3,$A2878&amp;"")),N(K2877)+1,N(K2877))))</f>
        <v>0</v>
      </c>
    </row>
    <row r="2879" customFormat="false" ht="15" hidden="false" customHeight="false" outlineLevel="0" collapsed="false">
      <c r="K2879" s="24" t="n">
        <f aca="false">IF(Search!$B$3="",0,IF($A2879="",N(K2878),IF(ISNUMBER(SEARCH(Search!$B$3,$A2879&amp;"")),N(K2878)+1,N(K2878))))</f>
        <v>0</v>
      </c>
    </row>
    <row r="2880" customFormat="false" ht="15" hidden="false" customHeight="false" outlineLevel="0" collapsed="false">
      <c r="K2880" s="24" t="n">
        <f aca="false">IF(Search!$B$3="",0,IF($A2880="",N(K2879),IF(ISNUMBER(SEARCH(Search!$B$3,$A2880&amp;"")),N(K2879)+1,N(K2879))))</f>
        <v>0</v>
      </c>
    </row>
    <row r="2881" customFormat="false" ht="15" hidden="false" customHeight="false" outlineLevel="0" collapsed="false">
      <c r="K2881" s="24" t="n">
        <f aca="false">IF(Search!$B$3="",0,IF($A2881="",N(K2880),IF(ISNUMBER(SEARCH(Search!$B$3,$A2881&amp;"")),N(K2880)+1,N(K2880))))</f>
        <v>0</v>
      </c>
    </row>
    <row r="2882" customFormat="false" ht="15" hidden="false" customHeight="false" outlineLevel="0" collapsed="false">
      <c r="K2882" s="24" t="n">
        <f aca="false">IF(Search!$B$3="",0,IF($A2882="",N(K2881),IF(ISNUMBER(SEARCH(Search!$B$3,$A2882&amp;"")),N(K2881)+1,N(K2881))))</f>
        <v>0</v>
      </c>
    </row>
    <row r="2883" customFormat="false" ht="15" hidden="false" customHeight="false" outlineLevel="0" collapsed="false">
      <c r="K2883" s="24" t="n">
        <f aca="false">IF(Search!$B$3="",0,IF($A2883="",N(K2882),IF(ISNUMBER(SEARCH(Search!$B$3,$A2883&amp;"")),N(K2882)+1,N(K2882))))</f>
        <v>0</v>
      </c>
    </row>
    <row r="2884" customFormat="false" ht="15" hidden="false" customHeight="false" outlineLevel="0" collapsed="false">
      <c r="K2884" s="24" t="n">
        <f aca="false">IF(Search!$B$3="",0,IF($A2884="",N(K2883),IF(ISNUMBER(SEARCH(Search!$B$3,$A2884&amp;"")),N(K2883)+1,N(K2883))))</f>
        <v>0</v>
      </c>
    </row>
    <row r="2885" customFormat="false" ht="15" hidden="false" customHeight="false" outlineLevel="0" collapsed="false">
      <c r="K2885" s="24" t="n">
        <f aca="false">IF(Search!$B$3="",0,IF($A2885="",N(K2884),IF(ISNUMBER(SEARCH(Search!$B$3,$A2885&amp;"")),N(K2884)+1,N(K2884))))</f>
        <v>0</v>
      </c>
    </row>
    <row r="2886" customFormat="false" ht="15" hidden="false" customHeight="false" outlineLevel="0" collapsed="false">
      <c r="K2886" s="24" t="n">
        <f aca="false">IF(Search!$B$3="",0,IF($A2886="",N(K2885),IF(ISNUMBER(SEARCH(Search!$B$3,$A2886&amp;"")),N(K2885)+1,N(K2885))))</f>
        <v>0</v>
      </c>
    </row>
    <row r="2887" customFormat="false" ht="15" hidden="false" customHeight="false" outlineLevel="0" collapsed="false">
      <c r="K2887" s="24" t="n">
        <f aca="false">IF(Search!$B$3="",0,IF($A2887="",N(K2886),IF(ISNUMBER(SEARCH(Search!$B$3,$A2887&amp;"")),N(K2886)+1,N(K2886))))</f>
        <v>0</v>
      </c>
    </row>
    <row r="2888" customFormat="false" ht="15" hidden="false" customHeight="false" outlineLevel="0" collapsed="false">
      <c r="K2888" s="24" t="n">
        <f aca="false">IF(Search!$B$3="",0,IF($A2888="",N(K2887),IF(ISNUMBER(SEARCH(Search!$B$3,$A2888&amp;"")),N(K2887)+1,N(K2887))))</f>
        <v>0</v>
      </c>
    </row>
    <row r="2889" customFormat="false" ht="15" hidden="false" customHeight="false" outlineLevel="0" collapsed="false">
      <c r="K2889" s="24" t="n">
        <f aca="false">IF(Search!$B$3="",0,IF($A2889="",N(K2888),IF(ISNUMBER(SEARCH(Search!$B$3,$A2889&amp;"")),N(K2888)+1,N(K2888))))</f>
        <v>0</v>
      </c>
    </row>
    <row r="2890" customFormat="false" ht="15" hidden="false" customHeight="false" outlineLevel="0" collapsed="false">
      <c r="K2890" s="24" t="n">
        <f aca="false">IF(Search!$B$3="",0,IF($A2890="",N(K2889),IF(ISNUMBER(SEARCH(Search!$B$3,$A2890&amp;"")),N(K2889)+1,N(K2889))))</f>
        <v>0</v>
      </c>
    </row>
    <row r="2891" customFormat="false" ht="15" hidden="false" customHeight="false" outlineLevel="0" collapsed="false">
      <c r="K2891" s="24" t="n">
        <f aca="false">IF(Search!$B$3="",0,IF($A2891="",N(K2890),IF(ISNUMBER(SEARCH(Search!$B$3,$A2891&amp;"")),N(K2890)+1,N(K2890))))</f>
        <v>0</v>
      </c>
    </row>
    <row r="2892" customFormat="false" ht="15" hidden="false" customHeight="false" outlineLevel="0" collapsed="false">
      <c r="K2892" s="24" t="n">
        <f aca="false">IF(Search!$B$3="",0,IF($A2892="",N(K2891),IF(ISNUMBER(SEARCH(Search!$B$3,$A2892&amp;"")),N(K2891)+1,N(K2891))))</f>
        <v>0</v>
      </c>
    </row>
    <row r="2893" customFormat="false" ht="15" hidden="false" customHeight="false" outlineLevel="0" collapsed="false">
      <c r="K2893" s="24" t="n">
        <f aca="false">IF(Search!$B$3="",0,IF($A2893="",N(K2892),IF(ISNUMBER(SEARCH(Search!$B$3,$A2893&amp;"")),N(K2892)+1,N(K2892))))</f>
        <v>0</v>
      </c>
    </row>
    <row r="2894" customFormat="false" ht="15" hidden="false" customHeight="false" outlineLevel="0" collapsed="false">
      <c r="K2894" s="24" t="n">
        <f aca="false">IF(Search!$B$3="",0,IF($A2894="",N(K2893),IF(ISNUMBER(SEARCH(Search!$B$3,$A2894&amp;"")),N(K2893)+1,N(K2893))))</f>
        <v>0</v>
      </c>
    </row>
    <row r="2895" customFormat="false" ht="15" hidden="false" customHeight="false" outlineLevel="0" collapsed="false">
      <c r="K2895" s="24" t="n">
        <f aca="false">IF(Search!$B$3="",0,IF($A2895="",N(K2894),IF(ISNUMBER(SEARCH(Search!$B$3,$A2895&amp;"")),N(K2894)+1,N(K2894))))</f>
        <v>0</v>
      </c>
    </row>
    <row r="2896" customFormat="false" ht="15" hidden="false" customHeight="false" outlineLevel="0" collapsed="false">
      <c r="K2896" s="24" t="n">
        <f aca="false">IF(Search!$B$3="",0,IF($A2896="",N(K2895),IF(ISNUMBER(SEARCH(Search!$B$3,$A2896&amp;"")),N(K2895)+1,N(K2895))))</f>
        <v>0</v>
      </c>
    </row>
    <row r="2897" customFormat="false" ht="15" hidden="false" customHeight="false" outlineLevel="0" collapsed="false">
      <c r="K2897" s="24" t="n">
        <f aca="false">IF(Search!$B$3="",0,IF($A2897="",N(K2896),IF(ISNUMBER(SEARCH(Search!$B$3,$A2897&amp;"")),N(K2896)+1,N(K2896))))</f>
        <v>0</v>
      </c>
    </row>
    <row r="2898" customFormat="false" ht="15" hidden="false" customHeight="false" outlineLevel="0" collapsed="false">
      <c r="K2898" s="24" t="n">
        <f aca="false">IF(Search!$B$3="",0,IF($A2898="",N(K2897),IF(ISNUMBER(SEARCH(Search!$B$3,$A2898&amp;"")),N(K2897)+1,N(K2897))))</f>
        <v>0</v>
      </c>
    </row>
    <row r="2899" customFormat="false" ht="15" hidden="false" customHeight="false" outlineLevel="0" collapsed="false">
      <c r="K2899" s="24" t="n">
        <f aca="false">IF(Search!$B$3="",0,IF($A2899="",N(K2898),IF(ISNUMBER(SEARCH(Search!$B$3,$A2899&amp;"")),N(K2898)+1,N(K2898))))</f>
        <v>0</v>
      </c>
    </row>
    <row r="2900" customFormat="false" ht="15" hidden="false" customHeight="false" outlineLevel="0" collapsed="false">
      <c r="K2900" s="24" t="n">
        <f aca="false">IF(Search!$B$3="",0,IF($A2900="",N(K2899),IF(ISNUMBER(SEARCH(Search!$B$3,$A2900&amp;"")),N(K2899)+1,N(K2899))))</f>
        <v>0</v>
      </c>
    </row>
    <row r="2901" customFormat="false" ht="15" hidden="false" customHeight="false" outlineLevel="0" collapsed="false">
      <c r="K2901" s="24" t="n">
        <f aca="false">IF(Search!$B$3="",0,IF($A2901="",N(K2900),IF(ISNUMBER(SEARCH(Search!$B$3,$A2901&amp;"")),N(K2900)+1,N(K2900))))</f>
        <v>0</v>
      </c>
    </row>
    <row r="2902" customFormat="false" ht="15" hidden="false" customHeight="false" outlineLevel="0" collapsed="false">
      <c r="K2902" s="24" t="n">
        <f aca="false">IF(Search!$B$3="",0,IF($A2902="",N(K2901),IF(ISNUMBER(SEARCH(Search!$B$3,$A2902&amp;"")),N(K2901)+1,N(K2901))))</f>
        <v>0</v>
      </c>
    </row>
    <row r="2903" customFormat="false" ht="15" hidden="false" customHeight="false" outlineLevel="0" collapsed="false">
      <c r="K2903" s="24" t="n">
        <f aca="false">IF(Search!$B$3="",0,IF($A2903="",N(K2902),IF(ISNUMBER(SEARCH(Search!$B$3,$A2903&amp;"")),N(K2902)+1,N(K2902))))</f>
        <v>0</v>
      </c>
    </row>
    <row r="2904" customFormat="false" ht="15" hidden="false" customHeight="false" outlineLevel="0" collapsed="false">
      <c r="K2904" s="24" t="n">
        <f aca="false">IF(Search!$B$3="",0,IF($A2904="",N(K2903),IF(ISNUMBER(SEARCH(Search!$B$3,$A2904&amp;"")),N(K2903)+1,N(K2903))))</f>
        <v>0</v>
      </c>
    </row>
    <row r="2905" customFormat="false" ht="15" hidden="false" customHeight="false" outlineLevel="0" collapsed="false">
      <c r="K2905" s="24" t="n">
        <f aca="false">IF(Search!$B$3="",0,IF($A2905="",N(K2904),IF(ISNUMBER(SEARCH(Search!$B$3,$A2905&amp;"")),N(K2904)+1,N(K2904))))</f>
        <v>0</v>
      </c>
    </row>
    <row r="2906" customFormat="false" ht="15" hidden="false" customHeight="false" outlineLevel="0" collapsed="false">
      <c r="K2906" s="24" t="n">
        <f aca="false">IF(Search!$B$3="",0,IF($A2906="",N(K2905),IF(ISNUMBER(SEARCH(Search!$B$3,$A2906&amp;"")),N(K2905)+1,N(K2905))))</f>
        <v>0</v>
      </c>
    </row>
    <row r="2907" customFormat="false" ht="15" hidden="false" customHeight="false" outlineLevel="0" collapsed="false">
      <c r="K2907" s="24" t="n">
        <f aca="false">IF(Search!$B$3="",0,IF($A2907="",N(K2906),IF(ISNUMBER(SEARCH(Search!$B$3,$A2907&amp;"")),N(K2906)+1,N(K2906))))</f>
        <v>0</v>
      </c>
    </row>
    <row r="2908" customFormat="false" ht="15" hidden="false" customHeight="false" outlineLevel="0" collapsed="false">
      <c r="K2908" s="24" t="n">
        <f aca="false">IF(Search!$B$3="",0,IF($A2908="",N(K2907),IF(ISNUMBER(SEARCH(Search!$B$3,$A2908&amp;"")),N(K2907)+1,N(K2907))))</f>
        <v>0</v>
      </c>
    </row>
    <row r="2909" customFormat="false" ht="15" hidden="false" customHeight="false" outlineLevel="0" collapsed="false">
      <c r="K2909" s="24" t="n">
        <f aca="false">IF(Search!$B$3="",0,IF($A2909="",N(K2908),IF(ISNUMBER(SEARCH(Search!$B$3,$A2909&amp;"")),N(K2908)+1,N(K2908))))</f>
        <v>0</v>
      </c>
    </row>
    <row r="2910" customFormat="false" ht="15" hidden="false" customHeight="false" outlineLevel="0" collapsed="false">
      <c r="K2910" s="24" t="n">
        <f aca="false">IF(Search!$B$3="",0,IF($A2910="",N(K2909),IF(ISNUMBER(SEARCH(Search!$B$3,$A2910&amp;"")),N(K2909)+1,N(K2909))))</f>
        <v>0</v>
      </c>
    </row>
    <row r="2911" customFormat="false" ht="15" hidden="false" customHeight="false" outlineLevel="0" collapsed="false">
      <c r="K2911" s="24" t="n">
        <f aca="false">IF(Search!$B$3="",0,IF($A2911="",N(K2910),IF(ISNUMBER(SEARCH(Search!$B$3,$A2911&amp;"")),N(K2910)+1,N(K2910))))</f>
        <v>0</v>
      </c>
    </row>
    <row r="2912" customFormat="false" ht="15" hidden="false" customHeight="false" outlineLevel="0" collapsed="false">
      <c r="K2912" s="24" t="n">
        <f aca="false">IF(Search!$B$3="",0,IF($A2912="",N(K2911),IF(ISNUMBER(SEARCH(Search!$B$3,$A2912&amp;"")),N(K2911)+1,N(K2911))))</f>
        <v>0</v>
      </c>
    </row>
    <row r="2913" customFormat="false" ht="15" hidden="false" customHeight="false" outlineLevel="0" collapsed="false">
      <c r="K2913" s="24" t="n">
        <f aca="false">IF(Search!$B$3="",0,IF($A2913="",N(K2912),IF(ISNUMBER(SEARCH(Search!$B$3,$A2913&amp;"")),N(K2912)+1,N(K2912))))</f>
        <v>0</v>
      </c>
    </row>
    <row r="2914" customFormat="false" ht="15" hidden="false" customHeight="false" outlineLevel="0" collapsed="false">
      <c r="K2914" s="24" t="n">
        <f aca="false">IF(Search!$B$3="",0,IF($A2914="",N(K2913),IF(ISNUMBER(SEARCH(Search!$B$3,$A2914&amp;"")),N(K2913)+1,N(K2913))))</f>
        <v>0</v>
      </c>
    </row>
    <row r="2915" customFormat="false" ht="15" hidden="false" customHeight="false" outlineLevel="0" collapsed="false">
      <c r="K2915" s="24" t="n">
        <f aca="false">IF(Search!$B$3="",0,IF($A2915="",N(K2914),IF(ISNUMBER(SEARCH(Search!$B$3,$A2915&amp;"")),N(K2914)+1,N(K2914))))</f>
        <v>0</v>
      </c>
    </row>
    <row r="2916" customFormat="false" ht="15" hidden="false" customHeight="false" outlineLevel="0" collapsed="false">
      <c r="K2916" s="24" t="n">
        <f aca="false">IF(Search!$B$3="",0,IF($A2916="",N(K2915),IF(ISNUMBER(SEARCH(Search!$B$3,$A2916&amp;"")),N(K2915)+1,N(K2915))))</f>
        <v>0</v>
      </c>
    </row>
    <row r="2917" customFormat="false" ht="15" hidden="false" customHeight="false" outlineLevel="0" collapsed="false">
      <c r="K2917" s="24" t="n">
        <f aca="false">IF(Search!$B$3="",0,IF($A2917="",N(K2916),IF(ISNUMBER(SEARCH(Search!$B$3,$A2917&amp;"")),N(K2916)+1,N(K2916))))</f>
        <v>0</v>
      </c>
    </row>
    <row r="2918" customFormat="false" ht="15" hidden="false" customHeight="false" outlineLevel="0" collapsed="false">
      <c r="K2918" s="24" t="n">
        <f aca="false">IF(Search!$B$3="",0,IF($A2918="",N(K2917),IF(ISNUMBER(SEARCH(Search!$B$3,$A2918&amp;"")),N(K2917)+1,N(K2917))))</f>
        <v>0</v>
      </c>
    </row>
    <row r="2919" customFormat="false" ht="15" hidden="false" customHeight="false" outlineLevel="0" collapsed="false">
      <c r="K2919" s="24" t="n">
        <f aca="false">IF(Search!$B$3="",0,IF($A2919="",N(K2918),IF(ISNUMBER(SEARCH(Search!$B$3,$A2919&amp;"")),N(K2918)+1,N(K2918))))</f>
        <v>0</v>
      </c>
    </row>
    <row r="2920" customFormat="false" ht="15" hidden="false" customHeight="false" outlineLevel="0" collapsed="false">
      <c r="K2920" s="24" t="n">
        <f aca="false">IF(Search!$B$3="",0,IF($A2920="",N(K2919),IF(ISNUMBER(SEARCH(Search!$B$3,$A2920&amp;"")),N(K2919)+1,N(K2919))))</f>
        <v>0</v>
      </c>
    </row>
    <row r="2921" customFormat="false" ht="15" hidden="false" customHeight="false" outlineLevel="0" collapsed="false">
      <c r="K2921" s="24" t="n">
        <f aca="false">IF(Search!$B$3="",0,IF($A2921="",N(K2920),IF(ISNUMBER(SEARCH(Search!$B$3,$A2921&amp;"")),N(K2920)+1,N(K2920))))</f>
        <v>0</v>
      </c>
    </row>
    <row r="2922" customFormat="false" ht="15" hidden="false" customHeight="false" outlineLevel="0" collapsed="false">
      <c r="K2922" s="24" t="n">
        <f aca="false">IF(Search!$B$3="",0,IF($A2922="",N(K2921),IF(ISNUMBER(SEARCH(Search!$B$3,$A2922&amp;"")),N(K2921)+1,N(K2921))))</f>
        <v>0</v>
      </c>
    </row>
    <row r="2923" customFormat="false" ht="15" hidden="false" customHeight="false" outlineLevel="0" collapsed="false">
      <c r="K2923" s="24" t="n">
        <f aca="false">IF(Search!$B$3="",0,IF($A2923="",N(K2922),IF(ISNUMBER(SEARCH(Search!$B$3,$A2923&amp;"")),N(K2922)+1,N(K2922))))</f>
        <v>0</v>
      </c>
    </row>
    <row r="2924" customFormat="false" ht="15" hidden="false" customHeight="false" outlineLevel="0" collapsed="false">
      <c r="K2924" s="24" t="n">
        <f aca="false">IF(Search!$B$3="",0,IF($A2924="",N(K2923),IF(ISNUMBER(SEARCH(Search!$B$3,$A2924&amp;"")),N(K2923)+1,N(K2923))))</f>
        <v>0</v>
      </c>
    </row>
    <row r="2925" customFormat="false" ht="15" hidden="false" customHeight="false" outlineLevel="0" collapsed="false">
      <c r="K2925" s="24" t="n">
        <f aca="false">IF(Search!$B$3="",0,IF($A2925="",N(K2924),IF(ISNUMBER(SEARCH(Search!$B$3,$A2925&amp;"")),N(K2924)+1,N(K2924))))</f>
        <v>0</v>
      </c>
    </row>
    <row r="2926" customFormat="false" ht="15" hidden="false" customHeight="false" outlineLevel="0" collapsed="false">
      <c r="K2926" s="24" t="n">
        <f aca="false">IF(Search!$B$3="",0,IF($A2926="",N(K2925),IF(ISNUMBER(SEARCH(Search!$B$3,$A2926&amp;"")),N(K2925)+1,N(K2925))))</f>
        <v>0</v>
      </c>
    </row>
    <row r="2927" customFormat="false" ht="15" hidden="false" customHeight="false" outlineLevel="0" collapsed="false">
      <c r="K2927" s="24" t="n">
        <f aca="false">IF(Search!$B$3="",0,IF($A2927="",N(K2926),IF(ISNUMBER(SEARCH(Search!$B$3,$A2927&amp;"")),N(K2926)+1,N(K2926))))</f>
        <v>0</v>
      </c>
    </row>
    <row r="2928" customFormat="false" ht="15" hidden="false" customHeight="false" outlineLevel="0" collapsed="false">
      <c r="K2928" s="24" t="n">
        <f aca="false">IF(Search!$B$3="",0,IF($A2928="",N(K2927),IF(ISNUMBER(SEARCH(Search!$B$3,$A2928&amp;"")),N(K2927)+1,N(K2927))))</f>
        <v>0</v>
      </c>
    </row>
    <row r="2929" customFormat="false" ht="15" hidden="false" customHeight="false" outlineLevel="0" collapsed="false">
      <c r="K2929" s="24" t="n">
        <f aca="false">IF(Search!$B$3="",0,IF($A2929="",N(K2928),IF(ISNUMBER(SEARCH(Search!$B$3,$A2929&amp;"")),N(K2928)+1,N(K2928))))</f>
        <v>0</v>
      </c>
    </row>
    <row r="2930" customFormat="false" ht="15" hidden="false" customHeight="false" outlineLevel="0" collapsed="false">
      <c r="K2930" s="24" t="n">
        <f aca="false">IF(Search!$B$3="",0,IF($A2930="",N(K2929),IF(ISNUMBER(SEARCH(Search!$B$3,$A2930&amp;"")),N(K2929)+1,N(K2929))))</f>
        <v>0</v>
      </c>
    </row>
    <row r="2931" customFormat="false" ht="15" hidden="false" customHeight="false" outlineLevel="0" collapsed="false">
      <c r="K2931" s="24" t="n">
        <f aca="false">IF(Search!$B$3="",0,IF($A2931="",N(K2930),IF(ISNUMBER(SEARCH(Search!$B$3,$A2931&amp;"")),N(K2930)+1,N(K2930))))</f>
        <v>0</v>
      </c>
    </row>
    <row r="2932" customFormat="false" ht="15" hidden="false" customHeight="false" outlineLevel="0" collapsed="false">
      <c r="K2932" s="24" t="n">
        <f aca="false">IF(Search!$B$3="",0,IF($A2932="",N(K2931),IF(ISNUMBER(SEARCH(Search!$B$3,$A2932&amp;"")),N(K2931)+1,N(K2931))))</f>
        <v>0</v>
      </c>
    </row>
    <row r="2933" customFormat="false" ht="15" hidden="false" customHeight="false" outlineLevel="0" collapsed="false">
      <c r="K2933" s="24" t="n">
        <f aca="false">IF(Search!$B$3="",0,IF($A2933="",N(K2932),IF(ISNUMBER(SEARCH(Search!$B$3,$A2933&amp;"")),N(K2932)+1,N(K2932))))</f>
        <v>0</v>
      </c>
    </row>
    <row r="2934" customFormat="false" ht="15" hidden="false" customHeight="false" outlineLevel="0" collapsed="false">
      <c r="K2934" s="24" t="n">
        <f aca="false">IF(Search!$B$3="",0,IF($A2934="",N(K2933),IF(ISNUMBER(SEARCH(Search!$B$3,$A2934&amp;"")),N(K2933)+1,N(K2933))))</f>
        <v>0</v>
      </c>
    </row>
    <row r="2935" customFormat="false" ht="15" hidden="false" customHeight="false" outlineLevel="0" collapsed="false">
      <c r="K2935" s="24" t="n">
        <f aca="false">IF(Search!$B$3="",0,IF($A2935="",N(K2934),IF(ISNUMBER(SEARCH(Search!$B$3,$A2935&amp;"")),N(K2934)+1,N(K2934))))</f>
        <v>0</v>
      </c>
    </row>
    <row r="2936" customFormat="false" ht="15" hidden="false" customHeight="false" outlineLevel="0" collapsed="false">
      <c r="K2936" s="24" t="n">
        <f aca="false">IF(Search!$B$3="",0,IF($A2936="",N(K2935),IF(ISNUMBER(SEARCH(Search!$B$3,$A2936&amp;"")),N(K2935)+1,N(K2935))))</f>
        <v>0</v>
      </c>
    </row>
    <row r="2937" customFormat="false" ht="15" hidden="false" customHeight="false" outlineLevel="0" collapsed="false">
      <c r="K2937" s="24" t="n">
        <f aca="false">IF(Search!$B$3="",0,IF($A2937="",N(K2936),IF(ISNUMBER(SEARCH(Search!$B$3,$A2937&amp;"")),N(K2936)+1,N(K2936))))</f>
        <v>0</v>
      </c>
    </row>
    <row r="2938" customFormat="false" ht="15" hidden="false" customHeight="false" outlineLevel="0" collapsed="false">
      <c r="K2938" s="24" t="n">
        <f aca="false">IF(Search!$B$3="",0,IF($A2938="",N(K2937),IF(ISNUMBER(SEARCH(Search!$B$3,$A2938&amp;"")),N(K2937)+1,N(K2937))))</f>
        <v>0</v>
      </c>
    </row>
    <row r="2939" customFormat="false" ht="15" hidden="false" customHeight="false" outlineLevel="0" collapsed="false">
      <c r="K2939" s="24" t="n">
        <f aca="false">IF(Search!$B$3="",0,IF($A2939="",N(K2938),IF(ISNUMBER(SEARCH(Search!$B$3,$A2939&amp;"")),N(K2938)+1,N(K2938))))</f>
        <v>0</v>
      </c>
    </row>
    <row r="2940" customFormat="false" ht="15" hidden="false" customHeight="false" outlineLevel="0" collapsed="false">
      <c r="K2940" s="24" t="n">
        <f aca="false">IF(Search!$B$3="",0,IF($A2940="",N(K2939),IF(ISNUMBER(SEARCH(Search!$B$3,$A2940&amp;"")),N(K2939)+1,N(K2939))))</f>
        <v>0</v>
      </c>
    </row>
    <row r="2941" customFormat="false" ht="15" hidden="false" customHeight="false" outlineLevel="0" collapsed="false">
      <c r="K2941" s="24" t="n">
        <f aca="false">IF(Search!$B$3="",0,IF($A2941="",N(K2940),IF(ISNUMBER(SEARCH(Search!$B$3,$A2941&amp;"")),N(K2940)+1,N(K2940))))</f>
        <v>0</v>
      </c>
    </row>
    <row r="2942" customFormat="false" ht="15" hidden="false" customHeight="false" outlineLevel="0" collapsed="false">
      <c r="K2942" s="24" t="n">
        <f aca="false">IF(Search!$B$3="",0,IF($A2942="",N(K2941),IF(ISNUMBER(SEARCH(Search!$B$3,$A2942&amp;"")),N(K2941)+1,N(K2941))))</f>
        <v>0</v>
      </c>
    </row>
    <row r="2943" customFormat="false" ht="15" hidden="false" customHeight="false" outlineLevel="0" collapsed="false">
      <c r="K2943" s="24" t="n">
        <f aca="false">IF(Search!$B$3="",0,IF($A2943="",N(K2942),IF(ISNUMBER(SEARCH(Search!$B$3,$A2943&amp;"")),N(K2942)+1,N(K2942))))</f>
        <v>0</v>
      </c>
    </row>
    <row r="2944" customFormat="false" ht="15" hidden="false" customHeight="false" outlineLevel="0" collapsed="false">
      <c r="K2944" s="24" t="n">
        <f aca="false">IF(Search!$B$3="",0,IF($A2944="",N(K2943),IF(ISNUMBER(SEARCH(Search!$B$3,$A2944&amp;"")),N(K2943)+1,N(K2943))))</f>
        <v>0</v>
      </c>
    </row>
    <row r="2945" customFormat="false" ht="15" hidden="false" customHeight="false" outlineLevel="0" collapsed="false">
      <c r="K2945" s="24" t="n">
        <f aca="false">IF(Search!$B$3="",0,IF($A2945="",N(K2944),IF(ISNUMBER(SEARCH(Search!$B$3,$A2945&amp;"")),N(K2944)+1,N(K2944))))</f>
        <v>0</v>
      </c>
    </row>
    <row r="2946" customFormat="false" ht="15" hidden="false" customHeight="false" outlineLevel="0" collapsed="false">
      <c r="K2946" s="24" t="n">
        <f aca="false">IF(Search!$B$3="",0,IF($A2946="",N(K2945),IF(ISNUMBER(SEARCH(Search!$B$3,$A2946&amp;"")),N(K2945)+1,N(K2945))))</f>
        <v>0</v>
      </c>
    </row>
    <row r="2947" customFormat="false" ht="15" hidden="false" customHeight="false" outlineLevel="0" collapsed="false">
      <c r="K2947" s="24" t="n">
        <f aca="false">IF(Search!$B$3="",0,IF($A2947="",N(K2946),IF(ISNUMBER(SEARCH(Search!$B$3,$A2947&amp;"")),N(K2946)+1,N(K2946))))</f>
        <v>0</v>
      </c>
    </row>
    <row r="2948" customFormat="false" ht="15" hidden="false" customHeight="false" outlineLevel="0" collapsed="false">
      <c r="K2948" s="24" t="n">
        <f aca="false">IF(Search!$B$3="",0,IF($A2948="",N(K2947),IF(ISNUMBER(SEARCH(Search!$B$3,$A2948&amp;"")),N(K2947)+1,N(K2947))))</f>
        <v>0</v>
      </c>
    </row>
    <row r="2949" customFormat="false" ht="15" hidden="false" customHeight="false" outlineLevel="0" collapsed="false">
      <c r="K2949" s="24" t="n">
        <f aca="false">IF(Search!$B$3="",0,IF($A2949="",N(K2948),IF(ISNUMBER(SEARCH(Search!$B$3,$A2949&amp;"")),N(K2948)+1,N(K2948))))</f>
        <v>0</v>
      </c>
    </row>
    <row r="2950" customFormat="false" ht="15" hidden="false" customHeight="false" outlineLevel="0" collapsed="false">
      <c r="K2950" s="24" t="n">
        <f aca="false">IF(Search!$B$3="",0,IF($A2950="",N(K2949),IF(ISNUMBER(SEARCH(Search!$B$3,$A2950&amp;"")),N(K2949)+1,N(K2949))))</f>
        <v>0</v>
      </c>
    </row>
    <row r="2951" customFormat="false" ht="15" hidden="false" customHeight="false" outlineLevel="0" collapsed="false">
      <c r="K2951" s="24" t="n">
        <f aca="false">IF(Search!$B$3="",0,IF($A2951="",N(K2950),IF(ISNUMBER(SEARCH(Search!$B$3,$A2951&amp;"")),N(K2950)+1,N(K2950))))</f>
        <v>0</v>
      </c>
    </row>
    <row r="2952" customFormat="false" ht="15" hidden="false" customHeight="false" outlineLevel="0" collapsed="false">
      <c r="K2952" s="24" t="n">
        <f aca="false">IF(Search!$B$3="",0,IF($A2952="",N(K2951),IF(ISNUMBER(SEARCH(Search!$B$3,$A2952&amp;"")),N(K2951)+1,N(K2951))))</f>
        <v>0</v>
      </c>
    </row>
    <row r="2953" customFormat="false" ht="15" hidden="false" customHeight="false" outlineLevel="0" collapsed="false">
      <c r="K2953" s="24" t="n">
        <f aca="false">IF(Search!$B$3="",0,IF($A2953="",N(K2952),IF(ISNUMBER(SEARCH(Search!$B$3,$A2953&amp;"")),N(K2952)+1,N(K2952))))</f>
        <v>0</v>
      </c>
    </row>
    <row r="2954" customFormat="false" ht="15" hidden="false" customHeight="false" outlineLevel="0" collapsed="false">
      <c r="K2954" s="24" t="n">
        <f aca="false">IF(Search!$B$3="",0,IF($A2954="",N(K2953),IF(ISNUMBER(SEARCH(Search!$B$3,$A2954&amp;"")),N(K2953)+1,N(K2953))))</f>
        <v>0</v>
      </c>
    </row>
    <row r="2955" customFormat="false" ht="15" hidden="false" customHeight="false" outlineLevel="0" collapsed="false">
      <c r="K2955" s="24" t="n">
        <f aca="false">IF(Search!$B$3="",0,IF($A2955="",N(K2954),IF(ISNUMBER(SEARCH(Search!$B$3,$A2955&amp;"")),N(K2954)+1,N(K2954))))</f>
        <v>0</v>
      </c>
    </row>
    <row r="2956" customFormat="false" ht="15" hidden="false" customHeight="false" outlineLevel="0" collapsed="false">
      <c r="K2956" s="24" t="n">
        <f aca="false">IF(Search!$B$3="",0,IF($A2956="",N(K2955),IF(ISNUMBER(SEARCH(Search!$B$3,$A2956&amp;"")),N(K2955)+1,N(K2955))))</f>
        <v>0</v>
      </c>
    </row>
    <row r="2957" customFormat="false" ht="15" hidden="false" customHeight="false" outlineLevel="0" collapsed="false">
      <c r="K2957" s="24" t="n">
        <f aca="false">IF(Search!$B$3="",0,IF($A2957="",N(K2956),IF(ISNUMBER(SEARCH(Search!$B$3,$A2957&amp;"")),N(K2956)+1,N(K2956))))</f>
        <v>0</v>
      </c>
    </row>
    <row r="2958" customFormat="false" ht="15" hidden="false" customHeight="false" outlineLevel="0" collapsed="false">
      <c r="K2958" s="24" t="n">
        <f aca="false">IF(Search!$B$3="",0,IF($A2958="",N(K2957),IF(ISNUMBER(SEARCH(Search!$B$3,$A2958&amp;"")),N(K2957)+1,N(K2957))))</f>
        <v>0</v>
      </c>
    </row>
    <row r="2959" customFormat="false" ht="15" hidden="false" customHeight="false" outlineLevel="0" collapsed="false">
      <c r="K2959" s="24" t="n">
        <f aca="false">IF(Search!$B$3="",0,IF($A2959="",N(K2958),IF(ISNUMBER(SEARCH(Search!$B$3,$A2959&amp;"")),N(K2958)+1,N(K2958))))</f>
        <v>0</v>
      </c>
    </row>
    <row r="2960" customFormat="false" ht="15" hidden="false" customHeight="false" outlineLevel="0" collapsed="false">
      <c r="K2960" s="24" t="n">
        <f aca="false">IF(Search!$B$3="",0,IF($A2960="",N(K2959),IF(ISNUMBER(SEARCH(Search!$B$3,$A2960&amp;"")),N(K2959)+1,N(K2959))))</f>
        <v>0</v>
      </c>
    </row>
    <row r="2961" customFormat="false" ht="15" hidden="false" customHeight="false" outlineLevel="0" collapsed="false">
      <c r="K2961" s="24" t="n">
        <f aca="false">IF(Search!$B$3="",0,IF($A2961="",N(K2960),IF(ISNUMBER(SEARCH(Search!$B$3,$A2961&amp;"")),N(K2960)+1,N(K2960))))</f>
        <v>0</v>
      </c>
    </row>
    <row r="2962" customFormat="false" ht="15" hidden="false" customHeight="false" outlineLevel="0" collapsed="false">
      <c r="K2962" s="24" t="n">
        <f aca="false">IF(Search!$B$3="",0,IF($A2962="",N(K2961),IF(ISNUMBER(SEARCH(Search!$B$3,$A2962&amp;"")),N(K2961)+1,N(K2961))))</f>
        <v>0</v>
      </c>
    </row>
    <row r="2963" customFormat="false" ht="15" hidden="false" customHeight="false" outlineLevel="0" collapsed="false">
      <c r="K2963" s="24" t="n">
        <f aca="false">IF(Search!$B$3="",0,IF($A2963="",N(K2962),IF(ISNUMBER(SEARCH(Search!$B$3,$A2963&amp;"")),N(K2962)+1,N(K2962))))</f>
        <v>0</v>
      </c>
    </row>
    <row r="2964" customFormat="false" ht="15" hidden="false" customHeight="false" outlineLevel="0" collapsed="false">
      <c r="K2964" s="24" t="n">
        <f aca="false">IF(Search!$B$3="",0,IF($A2964="",N(K2963),IF(ISNUMBER(SEARCH(Search!$B$3,$A2964&amp;"")),N(K2963)+1,N(K2963))))</f>
        <v>0</v>
      </c>
    </row>
    <row r="2965" customFormat="false" ht="15" hidden="false" customHeight="false" outlineLevel="0" collapsed="false">
      <c r="K2965" s="24" t="n">
        <f aca="false">IF(Search!$B$3="",0,IF($A2965="",N(K2964),IF(ISNUMBER(SEARCH(Search!$B$3,$A2965&amp;"")),N(K2964)+1,N(K2964))))</f>
        <v>0</v>
      </c>
    </row>
    <row r="2966" customFormat="false" ht="15" hidden="false" customHeight="false" outlineLevel="0" collapsed="false">
      <c r="K2966" s="24" t="n">
        <f aca="false">IF(Search!$B$3="",0,IF($A2966="",N(K2965),IF(ISNUMBER(SEARCH(Search!$B$3,$A2966&amp;"")),N(K2965)+1,N(K2965))))</f>
        <v>0</v>
      </c>
    </row>
    <row r="2967" customFormat="false" ht="15" hidden="false" customHeight="false" outlineLevel="0" collapsed="false">
      <c r="K2967" s="24" t="n">
        <f aca="false">IF(Search!$B$3="",0,IF($A2967="",N(K2966),IF(ISNUMBER(SEARCH(Search!$B$3,$A2967&amp;"")),N(K2966)+1,N(K2966))))</f>
        <v>0</v>
      </c>
    </row>
    <row r="2968" customFormat="false" ht="15" hidden="false" customHeight="false" outlineLevel="0" collapsed="false">
      <c r="K2968" s="24" t="n">
        <f aca="false">IF(Search!$B$3="",0,IF($A2968="",N(K2967),IF(ISNUMBER(SEARCH(Search!$B$3,$A2968&amp;"")),N(K2967)+1,N(K2967))))</f>
        <v>0</v>
      </c>
    </row>
    <row r="2969" customFormat="false" ht="15" hidden="false" customHeight="false" outlineLevel="0" collapsed="false">
      <c r="K2969" s="24" t="n">
        <f aca="false">IF(Search!$B$3="",0,IF($A2969="",N(K2968),IF(ISNUMBER(SEARCH(Search!$B$3,$A2969&amp;"")),N(K2968)+1,N(K2968))))</f>
        <v>0</v>
      </c>
    </row>
    <row r="2970" customFormat="false" ht="15" hidden="false" customHeight="false" outlineLevel="0" collapsed="false">
      <c r="K2970" s="24" t="n">
        <f aca="false">IF(Search!$B$3="",0,IF($A2970="",N(K2969),IF(ISNUMBER(SEARCH(Search!$B$3,$A2970&amp;"")),N(K2969)+1,N(K2969))))</f>
        <v>0</v>
      </c>
    </row>
    <row r="2971" customFormat="false" ht="15" hidden="false" customHeight="false" outlineLevel="0" collapsed="false">
      <c r="K2971" s="24" t="n">
        <f aca="false">IF(Search!$B$3="",0,IF($A2971="",N(K2970),IF(ISNUMBER(SEARCH(Search!$B$3,$A2971&amp;"")),N(K2970)+1,N(K2970))))</f>
        <v>0</v>
      </c>
    </row>
    <row r="2972" customFormat="false" ht="15" hidden="false" customHeight="false" outlineLevel="0" collapsed="false">
      <c r="K2972" s="24" t="n">
        <f aca="false">IF(Search!$B$3="",0,IF($A2972="",N(K2971),IF(ISNUMBER(SEARCH(Search!$B$3,$A2972&amp;"")),N(K2971)+1,N(K2971))))</f>
        <v>0</v>
      </c>
    </row>
    <row r="2973" customFormat="false" ht="15" hidden="false" customHeight="false" outlineLevel="0" collapsed="false">
      <c r="K2973" s="24" t="n">
        <f aca="false">IF(Search!$B$3="",0,IF($A2973="",N(K2972),IF(ISNUMBER(SEARCH(Search!$B$3,$A2973&amp;"")),N(K2972)+1,N(K2972))))</f>
        <v>0</v>
      </c>
    </row>
    <row r="2974" customFormat="false" ht="15" hidden="false" customHeight="false" outlineLevel="0" collapsed="false">
      <c r="K2974" s="24" t="n">
        <f aca="false">IF(Search!$B$3="",0,IF($A2974="",N(K2973),IF(ISNUMBER(SEARCH(Search!$B$3,$A2974&amp;"")),N(K2973)+1,N(K2973))))</f>
        <v>0</v>
      </c>
    </row>
    <row r="2975" customFormat="false" ht="15" hidden="false" customHeight="false" outlineLevel="0" collapsed="false">
      <c r="K2975" s="24" t="n">
        <f aca="false">IF(Search!$B$3="",0,IF($A2975="",N(K2974),IF(ISNUMBER(SEARCH(Search!$B$3,$A2975&amp;"")),N(K2974)+1,N(K2974))))</f>
        <v>0</v>
      </c>
    </row>
    <row r="2976" customFormat="false" ht="15" hidden="false" customHeight="false" outlineLevel="0" collapsed="false">
      <c r="K2976" s="24" t="n">
        <f aca="false">IF(Search!$B$3="",0,IF($A2976="",N(K2975),IF(ISNUMBER(SEARCH(Search!$B$3,$A2976&amp;"")),N(K2975)+1,N(K2975))))</f>
        <v>0</v>
      </c>
    </row>
    <row r="2977" customFormat="false" ht="15" hidden="false" customHeight="false" outlineLevel="0" collapsed="false">
      <c r="K2977" s="24" t="n">
        <f aca="false">IF(Search!$B$3="",0,IF($A2977="",N(K2976),IF(ISNUMBER(SEARCH(Search!$B$3,$A2977&amp;"")),N(K2976)+1,N(K2976))))</f>
        <v>0</v>
      </c>
    </row>
    <row r="2978" customFormat="false" ht="15" hidden="false" customHeight="false" outlineLevel="0" collapsed="false">
      <c r="K2978" s="24" t="n">
        <f aca="false">IF(Search!$B$3="",0,IF($A2978="",N(K2977),IF(ISNUMBER(SEARCH(Search!$B$3,$A2978&amp;"")),N(K2977)+1,N(K2977))))</f>
        <v>0</v>
      </c>
    </row>
    <row r="2979" customFormat="false" ht="15" hidden="false" customHeight="false" outlineLevel="0" collapsed="false">
      <c r="K2979" s="24" t="n">
        <f aca="false">IF(Search!$B$3="",0,IF($A2979="",N(K2978),IF(ISNUMBER(SEARCH(Search!$B$3,$A2979&amp;"")),N(K2978)+1,N(K2978))))</f>
        <v>0</v>
      </c>
    </row>
    <row r="2980" customFormat="false" ht="15" hidden="false" customHeight="false" outlineLevel="0" collapsed="false">
      <c r="K2980" s="24" t="n">
        <f aca="false">IF(Search!$B$3="",0,IF($A2980="",N(K2979),IF(ISNUMBER(SEARCH(Search!$B$3,$A2980&amp;"")),N(K2979)+1,N(K2979))))</f>
        <v>0</v>
      </c>
    </row>
    <row r="2981" customFormat="false" ht="15" hidden="false" customHeight="false" outlineLevel="0" collapsed="false">
      <c r="K2981" s="24" t="n">
        <f aca="false">IF(Search!$B$3="",0,IF($A2981="",N(K2980),IF(ISNUMBER(SEARCH(Search!$B$3,$A2981&amp;"")),N(K2980)+1,N(K2980))))</f>
        <v>0</v>
      </c>
    </row>
    <row r="2982" customFormat="false" ht="15" hidden="false" customHeight="false" outlineLevel="0" collapsed="false">
      <c r="K2982" s="24" t="n">
        <f aca="false">IF(Search!$B$3="",0,IF($A2982="",N(K2981),IF(ISNUMBER(SEARCH(Search!$B$3,$A2982&amp;"")),N(K2981)+1,N(K2981))))</f>
        <v>0</v>
      </c>
    </row>
    <row r="2983" customFormat="false" ht="15" hidden="false" customHeight="false" outlineLevel="0" collapsed="false">
      <c r="K2983" s="24" t="n">
        <f aca="false">IF(Search!$B$3="",0,IF($A2983="",N(K2982),IF(ISNUMBER(SEARCH(Search!$B$3,$A2983&amp;"")),N(K2982)+1,N(K2982))))</f>
        <v>0</v>
      </c>
    </row>
    <row r="2984" customFormat="false" ht="15" hidden="false" customHeight="false" outlineLevel="0" collapsed="false">
      <c r="K2984" s="24" t="n">
        <f aca="false">IF(Search!$B$3="",0,IF($A2984="",N(K2983),IF(ISNUMBER(SEARCH(Search!$B$3,$A2984&amp;"")),N(K2983)+1,N(K2983))))</f>
        <v>0</v>
      </c>
    </row>
    <row r="2985" customFormat="false" ht="15" hidden="false" customHeight="false" outlineLevel="0" collapsed="false">
      <c r="K2985" s="24" t="n">
        <f aca="false">IF(Search!$B$3="",0,IF($A2985="",N(K2984),IF(ISNUMBER(SEARCH(Search!$B$3,$A2985&amp;"")),N(K2984)+1,N(K2984))))</f>
        <v>0</v>
      </c>
    </row>
    <row r="2986" customFormat="false" ht="15" hidden="false" customHeight="false" outlineLevel="0" collapsed="false">
      <c r="K2986" s="24" t="n">
        <f aca="false">IF(Search!$B$3="",0,IF($A2986="",N(K2985),IF(ISNUMBER(SEARCH(Search!$B$3,$A2986&amp;"")),N(K2985)+1,N(K2985))))</f>
        <v>0</v>
      </c>
    </row>
    <row r="2987" customFormat="false" ht="15" hidden="false" customHeight="false" outlineLevel="0" collapsed="false">
      <c r="K2987" s="24" t="n">
        <f aca="false">IF(Search!$B$3="",0,IF($A2987="",N(K2986),IF(ISNUMBER(SEARCH(Search!$B$3,$A2987&amp;"")),N(K2986)+1,N(K2986))))</f>
        <v>0</v>
      </c>
    </row>
    <row r="2988" customFormat="false" ht="15" hidden="false" customHeight="false" outlineLevel="0" collapsed="false">
      <c r="K2988" s="24" t="n">
        <f aca="false">IF(Search!$B$3="",0,IF($A2988="",N(K2987),IF(ISNUMBER(SEARCH(Search!$B$3,$A2988&amp;"")),N(K2987)+1,N(K2987))))</f>
        <v>0</v>
      </c>
    </row>
    <row r="2989" customFormat="false" ht="15" hidden="false" customHeight="false" outlineLevel="0" collapsed="false">
      <c r="K2989" s="24" t="n">
        <f aca="false">IF(Search!$B$3="",0,IF($A2989="",N(K2988),IF(ISNUMBER(SEARCH(Search!$B$3,$A2989&amp;"")),N(K2988)+1,N(K2988))))</f>
        <v>0</v>
      </c>
    </row>
    <row r="2990" customFormat="false" ht="15" hidden="false" customHeight="false" outlineLevel="0" collapsed="false">
      <c r="K2990" s="24" t="n">
        <f aca="false">IF(Search!$B$3="",0,IF($A2990="",N(K2989),IF(ISNUMBER(SEARCH(Search!$B$3,$A2990&amp;"")),N(K2989)+1,N(K2989))))</f>
        <v>0</v>
      </c>
    </row>
    <row r="2991" customFormat="false" ht="15" hidden="false" customHeight="false" outlineLevel="0" collapsed="false">
      <c r="K2991" s="24" t="n">
        <f aca="false">IF(Search!$B$3="",0,IF($A2991="",N(K2990),IF(ISNUMBER(SEARCH(Search!$B$3,$A2991&amp;"")),N(K2990)+1,N(K2990))))</f>
        <v>0</v>
      </c>
    </row>
    <row r="2992" customFormat="false" ht="15" hidden="false" customHeight="false" outlineLevel="0" collapsed="false">
      <c r="K2992" s="24" t="n">
        <f aca="false">IF(Search!$B$3="",0,IF($A2992="",N(K2991),IF(ISNUMBER(SEARCH(Search!$B$3,$A2992&amp;"")),N(K2991)+1,N(K2991))))</f>
        <v>0</v>
      </c>
    </row>
    <row r="2993" customFormat="false" ht="15" hidden="false" customHeight="false" outlineLevel="0" collapsed="false">
      <c r="K2993" s="24" t="n">
        <f aca="false">IF(Search!$B$3="",0,IF($A2993="",N(K2992),IF(ISNUMBER(SEARCH(Search!$B$3,$A2993&amp;"")),N(K2992)+1,N(K2992))))</f>
        <v>0</v>
      </c>
    </row>
    <row r="2994" customFormat="false" ht="15" hidden="false" customHeight="false" outlineLevel="0" collapsed="false">
      <c r="K2994" s="24" t="n">
        <f aca="false">IF(Search!$B$3="",0,IF($A2994="",N(K2993),IF(ISNUMBER(SEARCH(Search!$B$3,$A2994&amp;"")),N(K2993)+1,N(K2993))))</f>
        <v>0</v>
      </c>
    </row>
    <row r="2995" customFormat="false" ht="15" hidden="false" customHeight="false" outlineLevel="0" collapsed="false">
      <c r="K2995" s="24" t="n">
        <f aca="false">IF(Search!$B$3="",0,IF($A2995="",N(K2994),IF(ISNUMBER(SEARCH(Search!$B$3,$A2995&amp;"")),N(K2994)+1,N(K2994))))</f>
        <v>0</v>
      </c>
    </row>
    <row r="2996" customFormat="false" ht="15" hidden="false" customHeight="false" outlineLevel="0" collapsed="false">
      <c r="K2996" s="24" t="n">
        <f aca="false">IF(Search!$B$3="",0,IF($A2996="",N(K2995),IF(ISNUMBER(SEARCH(Search!$B$3,$A2996&amp;"")),N(K2995)+1,N(K2995))))</f>
        <v>0</v>
      </c>
    </row>
    <row r="2997" customFormat="false" ht="15" hidden="false" customHeight="false" outlineLevel="0" collapsed="false">
      <c r="K2997" s="24" t="n">
        <f aca="false">IF(Search!$B$3="",0,IF($A2997="",N(K2996),IF(ISNUMBER(SEARCH(Search!$B$3,$A2997&amp;"")),N(K2996)+1,N(K2996))))</f>
        <v>0</v>
      </c>
    </row>
    <row r="2998" customFormat="false" ht="15" hidden="false" customHeight="false" outlineLevel="0" collapsed="false">
      <c r="K2998" s="24" t="n">
        <f aca="false">IF(Search!$B$3="",0,IF($A2998="",N(K2997),IF(ISNUMBER(SEARCH(Search!$B$3,$A2998&amp;"")),N(K2997)+1,N(K2997))))</f>
        <v>0</v>
      </c>
    </row>
    <row r="2999" customFormat="false" ht="15" hidden="false" customHeight="false" outlineLevel="0" collapsed="false">
      <c r="K2999" s="24" t="n">
        <f aca="false">IF(Search!$B$3="",0,IF($A2999="",N(K2998),IF(ISNUMBER(SEARCH(Search!$B$3,$A2999&amp;"")),N(K2998)+1,N(K2998))))</f>
        <v>0</v>
      </c>
    </row>
    <row r="3000" customFormat="false" ht="15" hidden="false" customHeight="false" outlineLevel="0" collapsed="false">
      <c r="K3000" s="24" t="n">
        <f aca="false">IF(Search!$B$3="",0,IF($A3000="",N(K2999),IF(ISNUMBER(SEARCH(Search!$B$3,$A3000&amp;"")),N(K2999)+1,N(K2999))))</f>
        <v>0</v>
      </c>
    </row>
    <row r="3001" customFormat="false" ht="15" hidden="false" customHeight="false" outlineLevel="0" collapsed="false">
      <c r="K3001" s="24" t="n">
        <f aca="false">IF(Search!$B$3="",0,IF($A3001="",N(K3000),IF(ISNUMBER(SEARCH(Search!$B$3,$A3001&amp;"")),N(K3000)+1,N(K3000))))</f>
        <v>0</v>
      </c>
    </row>
    <row r="3002" customFormat="false" ht="15" hidden="false" customHeight="false" outlineLevel="0" collapsed="false">
      <c r="K3002" s="24" t="n">
        <f aca="false">IF(Search!$B$3="",0,IF($A3002="",N(K3001),IF(ISNUMBER(SEARCH(Search!$B$3,$A3002&amp;"")),N(K3001)+1,N(K3001))))</f>
        <v>0</v>
      </c>
    </row>
    <row r="3003" customFormat="false" ht="15" hidden="false" customHeight="false" outlineLevel="0" collapsed="false">
      <c r="K3003" s="24" t="n">
        <f aca="false">IF(Search!$B$3="",0,IF($A3003="",N(K3002),IF(ISNUMBER(SEARCH(Search!$B$3,$A3003&amp;"")),N(K3002)+1,N(K3002))))</f>
        <v>0</v>
      </c>
    </row>
    <row r="3004" customFormat="false" ht="15" hidden="false" customHeight="false" outlineLevel="0" collapsed="false">
      <c r="K3004" s="24" t="n">
        <f aca="false">IF(Search!$B$3="",0,IF($A3004="",N(K3003),IF(ISNUMBER(SEARCH(Search!$B$3,$A3004&amp;"")),N(K3003)+1,N(K3003))))</f>
        <v>0</v>
      </c>
    </row>
    <row r="3005" customFormat="false" ht="15" hidden="false" customHeight="false" outlineLevel="0" collapsed="false">
      <c r="K3005" s="24" t="n">
        <f aca="false">IF(Search!$B$3="",0,IF($A3005="",N(K3004),IF(ISNUMBER(SEARCH(Search!$B$3,$A3005&amp;"")),N(K3004)+1,N(K3004))))</f>
        <v>0</v>
      </c>
    </row>
    <row r="3006" customFormat="false" ht="15" hidden="false" customHeight="false" outlineLevel="0" collapsed="false">
      <c r="K3006" s="24" t="n">
        <f aca="false">IF(Search!$B$3="",0,IF($A3006="",N(K3005),IF(ISNUMBER(SEARCH(Search!$B$3,$A3006&amp;"")),N(K3005)+1,N(K3005))))</f>
        <v>0</v>
      </c>
    </row>
    <row r="3007" customFormat="false" ht="15" hidden="false" customHeight="false" outlineLevel="0" collapsed="false">
      <c r="K3007" s="24" t="n">
        <f aca="false">IF(Search!$B$3="",0,IF($A3007="",N(K3006),IF(ISNUMBER(SEARCH(Search!$B$3,$A3007&amp;"")),N(K3006)+1,N(K3006))))</f>
        <v>0</v>
      </c>
    </row>
    <row r="3008" customFormat="false" ht="15" hidden="false" customHeight="false" outlineLevel="0" collapsed="false">
      <c r="K3008" s="24" t="n">
        <f aca="false">IF(Search!$B$3="",0,IF($A3008="",N(K3007),IF(ISNUMBER(SEARCH(Search!$B$3,$A3008&amp;"")),N(K3007)+1,N(K3007))))</f>
        <v>0</v>
      </c>
    </row>
    <row r="3009" customFormat="false" ht="15" hidden="false" customHeight="false" outlineLevel="0" collapsed="false">
      <c r="K3009" s="24" t="n">
        <f aca="false">IF(Search!$B$3="",0,IF($A3009="",N(K3008),IF(ISNUMBER(SEARCH(Search!$B$3,$A3009&amp;"")),N(K3008)+1,N(K3008))))</f>
        <v>0</v>
      </c>
    </row>
    <row r="3010" customFormat="false" ht="15" hidden="false" customHeight="false" outlineLevel="0" collapsed="false">
      <c r="K3010" s="24" t="n">
        <f aca="false">IF(Search!$B$3="",0,IF($A3010="",N(K3009),IF(ISNUMBER(SEARCH(Search!$B$3,$A3010&amp;"")),N(K3009)+1,N(K3009))))</f>
        <v>0</v>
      </c>
    </row>
    <row r="3011" customFormat="false" ht="15" hidden="false" customHeight="false" outlineLevel="0" collapsed="false">
      <c r="K3011" s="24" t="n">
        <f aca="false">IF(Search!$B$3="",0,IF($A3011="",N(K3010),IF(ISNUMBER(SEARCH(Search!$B$3,$A3011&amp;"")),N(K3010)+1,N(K3010))))</f>
        <v>0</v>
      </c>
    </row>
    <row r="3012" customFormat="false" ht="15" hidden="false" customHeight="false" outlineLevel="0" collapsed="false">
      <c r="K3012" s="24" t="n">
        <f aca="false">IF(Search!$B$3="",0,IF($A3012="",N(K3011),IF(ISNUMBER(SEARCH(Search!$B$3,$A3012&amp;"")),N(K3011)+1,N(K3011))))</f>
        <v>0</v>
      </c>
    </row>
    <row r="3013" customFormat="false" ht="15" hidden="false" customHeight="false" outlineLevel="0" collapsed="false">
      <c r="K3013" s="24" t="n">
        <f aca="false">IF(Search!$B$3="",0,IF($A3013="",N(K3012),IF(ISNUMBER(SEARCH(Search!$B$3,$A3013&amp;"")),N(K3012)+1,N(K3012))))</f>
        <v>0</v>
      </c>
    </row>
    <row r="3014" customFormat="false" ht="15" hidden="false" customHeight="false" outlineLevel="0" collapsed="false">
      <c r="K3014" s="24" t="n">
        <f aca="false">IF(Search!$B$3="",0,IF($A3014="",N(K3013),IF(ISNUMBER(SEARCH(Search!$B$3,$A3014&amp;"")),N(K3013)+1,N(K3013))))</f>
        <v>0</v>
      </c>
    </row>
    <row r="3015" customFormat="false" ht="15" hidden="false" customHeight="false" outlineLevel="0" collapsed="false">
      <c r="K3015" s="24" t="n">
        <f aca="false">IF(Search!$B$3="",0,IF($A3015="",N(K3014),IF(ISNUMBER(SEARCH(Search!$B$3,$A3015&amp;"")),N(K3014)+1,N(K3014))))</f>
        <v>0</v>
      </c>
    </row>
    <row r="3016" customFormat="false" ht="15" hidden="false" customHeight="false" outlineLevel="0" collapsed="false">
      <c r="K3016" s="24" t="n">
        <f aca="false">IF(Search!$B$3="",0,IF($A3016="",N(K3015),IF(ISNUMBER(SEARCH(Search!$B$3,$A3016&amp;"")),N(K3015)+1,N(K3015))))</f>
        <v>0</v>
      </c>
    </row>
    <row r="3017" customFormat="false" ht="15" hidden="false" customHeight="false" outlineLevel="0" collapsed="false">
      <c r="K3017" s="24" t="n">
        <f aca="false">IF(Search!$B$3="",0,IF($A3017="",N(K3016),IF(ISNUMBER(SEARCH(Search!$B$3,$A3017&amp;"")),N(K3016)+1,N(K3016))))</f>
        <v>0</v>
      </c>
    </row>
    <row r="3018" customFormat="false" ht="15" hidden="false" customHeight="false" outlineLevel="0" collapsed="false">
      <c r="K3018" s="24" t="n">
        <f aca="false">IF(Search!$B$3="",0,IF($A3018="",N(K3017),IF(ISNUMBER(SEARCH(Search!$B$3,$A3018&amp;"")),N(K3017)+1,N(K3017))))</f>
        <v>0</v>
      </c>
    </row>
    <row r="3019" customFormat="false" ht="15" hidden="false" customHeight="false" outlineLevel="0" collapsed="false">
      <c r="K3019" s="24" t="n">
        <f aca="false">IF(Search!$B$3="",0,IF($A3019="",N(K3018),IF(ISNUMBER(SEARCH(Search!$B$3,$A3019&amp;"")),N(K3018)+1,N(K3018))))</f>
        <v>0</v>
      </c>
    </row>
    <row r="3020" customFormat="false" ht="15" hidden="false" customHeight="false" outlineLevel="0" collapsed="false">
      <c r="K3020" s="24" t="n">
        <f aca="false">IF(Search!$B$3="",0,IF($A3020="",N(K3019),IF(ISNUMBER(SEARCH(Search!$B$3,$A3020&amp;"")),N(K3019)+1,N(K3019))))</f>
        <v>0</v>
      </c>
    </row>
    <row r="3021" customFormat="false" ht="15" hidden="false" customHeight="false" outlineLevel="0" collapsed="false">
      <c r="K3021" s="24" t="n">
        <f aca="false">IF(Search!$B$3="",0,IF($A3021="",N(K3020),IF(ISNUMBER(SEARCH(Search!$B$3,$A3021&amp;"")),N(K3020)+1,N(K3020))))</f>
        <v>0</v>
      </c>
    </row>
    <row r="3022" customFormat="false" ht="15" hidden="false" customHeight="false" outlineLevel="0" collapsed="false">
      <c r="K3022" s="24" t="n">
        <f aca="false">IF(Search!$B$3="",0,IF($A3022="",N(K3021),IF(ISNUMBER(SEARCH(Search!$B$3,$A3022&amp;"")),N(K3021)+1,N(K3021))))</f>
        <v>0</v>
      </c>
    </row>
    <row r="3023" customFormat="false" ht="15" hidden="false" customHeight="false" outlineLevel="0" collapsed="false">
      <c r="K3023" s="24" t="n">
        <f aca="false">IF(Search!$B$3="",0,IF($A3023="",N(K3022),IF(ISNUMBER(SEARCH(Search!$B$3,$A3023&amp;"")),N(K3022)+1,N(K3022))))</f>
        <v>0</v>
      </c>
    </row>
    <row r="3024" customFormat="false" ht="15" hidden="false" customHeight="false" outlineLevel="0" collapsed="false">
      <c r="K3024" s="24" t="n">
        <f aca="false">IF(Search!$B$3="",0,IF($A3024="",N(K3023),IF(ISNUMBER(SEARCH(Search!$B$3,$A3024&amp;"")),N(K3023)+1,N(K3023))))</f>
        <v>0</v>
      </c>
    </row>
    <row r="3025" customFormat="false" ht="15" hidden="false" customHeight="false" outlineLevel="0" collapsed="false">
      <c r="K3025" s="24" t="n">
        <f aca="false">IF(Search!$B$3="",0,IF($A3025="",N(K3024),IF(ISNUMBER(SEARCH(Search!$B$3,$A3025&amp;"")),N(K3024)+1,N(K3024))))</f>
        <v>0</v>
      </c>
    </row>
    <row r="3026" customFormat="false" ht="15" hidden="false" customHeight="false" outlineLevel="0" collapsed="false">
      <c r="K3026" s="24" t="n">
        <f aca="false">IF(Search!$B$3="",0,IF($A3026="",N(K3025),IF(ISNUMBER(SEARCH(Search!$B$3,$A3026&amp;"")),N(K3025)+1,N(K3025))))</f>
        <v>0</v>
      </c>
    </row>
    <row r="3027" customFormat="false" ht="15" hidden="false" customHeight="false" outlineLevel="0" collapsed="false">
      <c r="K3027" s="24" t="n">
        <f aca="false">IF(Search!$B$3="",0,IF($A3027="",N(K3026),IF(ISNUMBER(SEARCH(Search!$B$3,$A3027&amp;"")),N(K3026)+1,N(K3026))))</f>
        <v>0</v>
      </c>
    </row>
    <row r="3028" customFormat="false" ht="15" hidden="false" customHeight="false" outlineLevel="0" collapsed="false">
      <c r="K3028" s="24" t="n">
        <f aca="false">IF(Search!$B$3="",0,IF($A3028="",N(K3027),IF(ISNUMBER(SEARCH(Search!$B$3,$A3028&amp;"")),N(K3027)+1,N(K3027))))</f>
        <v>0</v>
      </c>
    </row>
    <row r="3029" customFormat="false" ht="15" hidden="false" customHeight="false" outlineLevel="0" collapsed="false">
      <c r="K3029" s="24" t="n">
        <f aca="false">IF(Search!$B$3="",0,IF($A3029="",N(K3028),IF(ISNUMBER(SEARCH(Search!$B$3,$A3029&amp;"")),N(K3028)+1,N(K3028))))</f>
        <v>0</v>
      </c>
    </row>
    <row r="3030" customFormat="false" ht="15" hidden="false" customHeight="false" outlineLevel="0" collapsed="false">
      <c r="K3030" s="24" t="n">
        <f aca="false">IF(Search!$B$3="",0,IF($A3030="",N(K3029),IF(ISNUMBER(SEARCH(Search!$B$3,$A3030&amp;"")),N(K3029)+1,N(K3029))))</f>
        <v>0</v>
      </c>
    </row>
    <row r="3031" customFormat="false" ht="15" hidden="false" customHeight="false" outlineLevel="0" collapsed="false">
      <c r="K3031" s="24" t="n">
        <f aca="false">IF(Search!$B$3="",0,IF($A3031="",N(K3030),IF(ISNUMBER(SEARCH(Search!$B$3,$A3031&amp;"")),N(K3030)+1,N(K3030))))</f>
        <v>0</v>
      </c>
    </row>
    <row r="3032" customFormat="false" ht="15" hidden="false" customHeight="false" outlineLevel="0" collapsed="false">
      <c r="K3032" s="24" t="n">
        <f aca="false">IF(Search!$B$3="",0,IF($A3032="",N(K3031),IF(ISNUMBER(SEARCH(Search!$B$3,$A3032&amp;"")),N(K3031)+1,N(K3031))))</f>
        <v>0</v>
      </c>
    </row>
    <row r="3033" customFormat="false" ht="15" hidden="false" customHeight="false" outlineLevel="0" collapsed="false">
      <c r="K3033" s="24" t="n">
        <f aca="false">IF(Search!$B$3="",0,IF($A3033="",N(K3032),IF(ISNUMBER(SEARCH(Search!$B$3,$A3033&amp;"")),N(K3032)+1,N(K3032))))</f>
        <v>0</v>
      </c>
    </row>
    <row r="3034" customFormat="false" ht="15" hidden="false" customHeight="false" outlineLevel="0" collapsed="false">
      <c r="K3034" s="24" t="n">
        <f aca="false">IF(Search!$B$3="",0,IF($A3034="",N(K3033),IF(ISNUMBER(SEARCH(Search!$B$3,$A3034&amp;"")),N(K3033)+1,N(K3033))))</f>
        <v>0</v>
      </c>
    </row>
    <row r="3035" customFormat="false" ht="15" hidden="false" customHeight="false" outlineLevel="0" collapsed="false">
      <c r="K3035" s="24" t="n">
        <f aca="false">IF(Search!$B$3="",0,IF($A3035="",N(K3034),IF(ISNUMBER(SEARCH(Search!$B$3,$A3035&amp;"")),N(K3034)+1,N(K3034))))</f>
        <v>0</v>
      </c>
    </row>
    <row r="3036" customFormat="false" ht="15" hidden="false" customHeight="false" outlineLevel="0" collapsed="false">
      <c r="K3036" s="24" t="n">
        <f aca="false">IF(Search!$B$3="",0,IF($A3036="",N(K3035),IF(ISNUMBER(SEARCH(Search!$B$3,$A3036&amp;"")),N(K3035)+1,N(K3035))))</f>
        <v>0</v>
      </c>
    </row>
    <row r="3037" customFormat="false" ht="15" hidden="false" customHeight="false" outlineLevel="0" collapsed="false">
      <c r="K3037" s="24" t="n">
        <f aca="false">IF(Search!$B$3="",0,IF($A3037="",N(K3036),IF(ISNUMBER(SEARCH(Search!$B$3,$A3037&amp;"")),N(K3036)+1,N(K3036))))</f>
        <v>0</v>
      </c>
    </row>
    <row r="3038" customFormat="false" ht="15" hidden="false" customHeight="false" outlineLevel="0" collapsed="false">
      <c r="K3038" s="24" t="n">
        <f aca="false">IF(Search!$B$3="",0,IF($A3038="",N(K3037),IF(ISNUMBER(SEARCH(Search!$B$3,$A3038&amp;"")),N(K3037)+1,N(K3037))))</f>
        <v>0</v>
      </c>
    </row>
    <row r="3039" customFormat="false" ht="15" hidden="false" customHeight="false" outlineLevel="0" collapsed="false">
      <c r="K3039" s="24" t="n">
        <f aca="false">IF(Search!$B$3="",0,IF($A3039="",N(K3038),IF(ISNUMBER(SEARCH(Search!$B$3,$A3039&amp;"")),N(K3038)+1,N(K3038))))</f>
        <v>0</v>
      </c>
    </row>
    <row r="3040" customFormat="false" ht="15" hidden="false" customHeight="false" outlineLevel="0" collapsed="false">
      <c r="K3040" s="24" t="n">
        <f aca="false">IF(Search!$B$3="",0,IF($A3040="",N(K3039),IF(ISNUMBER(SEARCH(Search!$B$3,$A3040&amp;"")),N(K3039)+1,N(K3039))))</f>
        <v>0</v>
      </c>
    </row>
    <row r="3041" customFormat="false" ht="15" hidden="false" customHeight="false" outlineLevel="0" collapsed="false">
      <c r="K3041" s="24" t="n">
        <f aca="false">IF(Search!$B$3="",0,IF($A3041="",N(K3040),IF(ISNUMBER(SEARCH(Search!$B$3,$A3041&amp;"")),N(K3040)+1,N(K3040))))</f>
        <v>0</v>
      </c>
    </row>
    <row r="3042" customFormat="false" ht="15" hidden="false" customHeight="false" outlineLevel="0" collapsed="false">
      <c r="K3042" s="24" t="n">
        <f aca="false">IF(Search!$B$3="",0,IF($A3042="",N(K3041),IF(ISNUMBER(SEARCH(Search!$B$3,$A3042&amp;"")),N(K3041)+1,N(K3041))))</f>
        <v>0</v>
      </c>
    </row>
    <row r="3043" customFormat="false" ht="15" hidden="false" customHeight="false" outlineLevel="0" collapsed="false">
      <c r="K3043" s="24" t="n">
        <f aca="false">IF(Search!$B$3="",0,IF($A3043="",N(K3042),IF(ISNUMBER(SEARCH(Search!$B$3,$A3043&amp;"")),N(K3042)+1,N(K3042))))</f>
        <v>0</v>
      </c>
    </row>
    <row r="3044" customFormat="false" ht="15" hidden="false" customHeight="false" outlineLevel="0" collapsed="false">
      <c r="K3044" s="24" t="n">
        <f aca="false">IF(Search!$B$3="",0,IF($A3044="",N(K3043),IF(ISNUMBER(SEARCH(Search!$B$3,$A3044&amp;"")),N(K3043)+1,N(K3043))))</f>
        <v>0</v>
      </c>
    </row>
    <row r="3045" customFormat="false" ht="15" hidden="false" customHeight="false" outlineLevel="0" collapsed="false">
      <c r="K3045" s="24" t="n">
        <f aca="false">IF(Search!$B$3="",0,IF($A3045="",N(K3044),IF(ISNUMBER(SEARCH(Search!$B$3,$A3045&amp;"")),N(K3044)+1,N(K3044))))</f>
        <v>0</v>
      </c>
    </row>
    <row r="3046" customFormat="false" ht="15" hidden="false" customHeight="false" outlineLevel="0" collapsed="false">
      <c r="K3046" s="24" t="n">
        <f aca="false">IF(Search!$B$3="",0,IF($A3046="",N(K3045),IF(ISNUMBER(SEARCH(Search!$B$3,$A3046&amp;"")),N(K3045)+1,N(K3045))))</f>
        <v>0</v>
      </c>
    </row>
    <row r="3047" customFormat="false" ht="15" hidden="false" customHeight="false" outlineLevel="0" collapsed="false">
      <c r="K3047" s="24" t="n">
        <f aca="false">IF(Search!$B$3="",0,IF($A3047="",N(K3046),IF(ISNUMBER(SEARCH(Search!$B$3,$A3047&amp;"")),N(K3046)+1,N(K3046))))</f>
        <v>0</v>
      </c>
    </row>
    <row r="3048" customFormat="false" ht="15" hidden="false" customHeight="false" outlineLevel="0" collapsed="false">
      <c r="K3048" s="24" t="n">
        <f aca="false">IF(Search!$B$3="",0,IF($A3048="",N(K3047),IF(ISNUMBER(SEARCH(Search!$B$3,$A3048&amp;"")),N(K3047)+1,N(K3047))))</f>
        <v>0</v>
      </c>
    </row>
    <row r="3049" customFormat="false" ht="15" hidden="false" customHeight="false" outlineLevel="0" collapsed="false">
      <c r="K3049" s="24" t="n">
        <f aca="false">IF(Search!$B$3="",0,IF($A3049="",N(K3048),IF(ISNUMBER(SEARCH(Search!$B$3,$A3049&amp;"")),N(K3048)+1,N(K3048))))</f>
        <v>0</v>
      </c>
    </row>
    <row r="3050" customFormat="false" ht="15" hidden="false" customHeight="false" outlineLevel="0" collapsed="false">
      <c r="K3050" s="24" t="n">
        <f aca="false">IF(Search!$B$3="",0,IF($A3050="",N(K3049),IF(ISNUMBER(SEARCH(Search!$B$3,$A3050&amp;"")),N(K3049)+1,N(K3049))))</f>
        <v>0</v>
      </c>
    </row>
    <row r="3051" customFormat="false" ht="15" hidden="false" customHeight="false" outlineLevel="0" collapsed="false">
      <c r="K3051" s="24" t="n">
        <f aca="false">IF(Search!$B$3="",0,IF($A3051="",N(K3050),IF(ISNUMBER(SEARCH(Search!$B$3,$A3051&amp;"")),N(K3050)+1,N(K3050))))</f>
        <v>0</v>
      </c>
    </row>
    <row r="3052" customFormat="false" ht="15" hidden="false" customHeight="false" outlineLevel="0" collapsed="false">
      <c r="K3052" s="24" t="n">
        <f aca="false">IF(Search!$B$3="",0,IF($A3052="",N(K3051),IF(ISNUMBER(SEARCH(Search!$B$3,$A3052&amp;"")),N(K3051)+1,N(K3051))))</f>
        <v>0</v>
      </c>
    </row>
    <row r="3053" customFormat="false" ht="15" hidden="false" customHeight="false" outlineLevel="0" collapsed="false">
      <c r="K3053" s="24" t="n">
        <f aca="false">IF(Search!$B$3="",0,IF($A3053="",N(K3052),IF(ISNUMBER(SEARCH(Search!$B$3,$A3053&amp;"")),N(K3052)+1,N(K3052))))</f>
        <v>0</v>
      </c>
    </row>
    <row r="3054" customFormat="false" ht="15" hidden="false" customHeight="false" outlineLevel="0" collapsed="false">
      <c r="K3054" s="24" t="n">
        <f aca="false">IF(Search!$B$3="",0,IF($A3054="",N(K3053),IF(ISNUMBER(SEARCH(Search!$B$3,$A3054&amp;"")),N(K3053)+1,N(K3053))))</f>
        <v>0</v>
      </c>
    </row>
    <row r="3055" customFormat="false" ht="15" hidden="false" customHeight="false" outlineLevel="0" collapsed="false">
      <c r="K3055" s="24" t="n">
        <f aca="false">IF(Search!$B$3="",0,IF($A3055="",N(K3054),IF(ISNUMBER(SEARCH(Search!$B$3,$A3055&amp;"")),N(K3054)+1,N(K3054))))</f>
        <v>0</v>
      </c>
    </row>
    <row r="3056" customFormat="false" ht="15" hidden="false" customHeight="false" outlineLevel="0" collapsed="false">
      <c r="K3056" s="24" t="n">
        <f aca="false">IF(Search!$B$3="",0,IF($A3056="",N(K3055),IF(ISNUMBER(SEARCH(Search!$B$3,$A3056&amp;"")),N(K3055)+1,N(K3055))))</f>
        <v>0</v>
      </c>
    </row>
    <row r="3057" customFormat="false" ht="15" hidden="false" customHeight="false" outlineLevel="0" collapsed="false">
      <c r="K3057" s="24" t="n">
        <f aca="false">IF(Search!$B$3="",0,IF($A3057="",N(K3056),IF(ISNUMBER(SEARCH(Search!$B$3,$A3057&amp;"")),N(K3056)+1,N(K3056))))</f>
        <v>0</v>
      </c>
    </row>
    <row r="3058" customFormat="false" ht="15" hidden="false" customHeight="false" outlineLevel="0" collapsed="false">
      <c r="K3058" s="24" t="n">
        <f aca="false">IF(Search!$B$3="",0,IF($A3058="",N(K3057),IF(ISNUMBER(SEARCH(Search!$B$3,$A3058&amp;"")),N(K3057)+1,N(K3057))))</f>
        <v>0</v>
      </c>
    </row>
    <row r="3059" customFormat="false" ht="15" hidden="false" customHeight="false" outlineLevel="0" collapsed="false">
      <c r="K3059" s="24" t="n">
        <f aca="false">IF(Search!$B$3="",0,IF($A3059="",N(K3058),IF(ISNUMBER(SEARCH(Search!$B$3,$A3059&amp;"")),N(K3058)+1,N(K3058))))</f>
        <v>0</v>
      </c>
    </row>
    <row r="3060" customFormat="false" ht="15" hidden="false" customHeight="false" outlineLevel="0" collapsed="false">
      <c r="K3060" s="24" t="n">
        <f aca="false">IF(Search!$B$3="",0,IF($A3060="",N(K3059),IF(ISNUMBER(SEARCH(Search!$B$3,$A3060&amp;"")),N(K3059)+1,N(K3059))))</f>
        <v>0</v>
      </c>
    </row>
    <row r="3061" customFormat="false" ht="15" hidden="false" customHeight="false" outlineLevel="0" collapsed="false">
      <c r="K3061" s="24" t="n">
        <f aca="false">IF(Search!$B$3="",0,IF($A3061="",N(K3060),IF(ISNUMBER(SEARCH(Search!$B$3,$A3061&amp;"")),N(K3060)+1,N(K3060))))</f>
        <v>0</v>
      </c>
    </row>
    <row r="3062" customFormat="false" ht="15" hidden="false" customHeight="false" outlineLevel="0" collapsed="false">
      <c r="K3062" s="24" t="n">
        <f aca="false">IF(Search!$B$3="",0,IF($A3062="",N(K3061),IF(ISNUMBER(SEARCH(Search!$B$3,$A3062&amp;"")),N(K3061)+1,N(K3061))))</f>
        <v>0</v>
      </c>
    </row>
    <row r="3063" customFormat="false" ht="15" hidden="false" customHeight="false" outlineLevel="0" collapsed="false">
      <c r="K3063" s="24" t="n">
        <f aca="false">IF(Search!$B$3="",0,IF($A3063="",N(K3062),IF(ISNUMBER(SEARCH(Search!$B$3,$A3063&amp;"")),N(K3062)+1,N(K3062))))</f>
        <v>0</v>
      </c>
    </row>
    <row r="3064" customFormat="false" ht="15" hidden="false" customHeight="false" outlineLevel="0" collapsed="false">
      <c r="K3064" s="24" t="n">
        <f aca="false">IF(Search!$B$3="",0,IF($A3064="",N(K3063),IF(ISNUMBER(SEARCH(Search!$B$3,$A3064&amp;"")),N(K3063)+1,N(K3063))))</f>
        <v>0</v>
      </c>
    </row>
    <row r="3065" customFormat="false" ht="15" hidden="false" customHeight="false" outlineLevel="0" collapsed="false">
      <c r="K3065" s="24" t="n">
        <f aca="false">IF(Search!$B$3="",0,IF($A3065="",N(K3064),IF(ISNUMBER(SEARCH(Search!$B$3,$A3065&amp;"")),N(K3064)+1,N(K3064))))</f>
        <v>0</v>
      </c>
    </row>
    <row r="3066" customFormat="false" ht="15" hidden="false" customHeight="false" outlineLevel="0" collapsed="false">
      <c r="K3066" s="24" t="n">
        <f aca="false">IF(Search!$B$3="",0,IF($A3066="",N(K3065),IF(ISNUMBER(SEARCH(Search!$B$3,$A3066&amp;"")),N(K3065)+1,N(K3065))))</f>
        <v>0</v>
      </c>
    </row>
    <row r="3067" customFormat="false" ht="15" hidden="false" customHeight="false" outlineLevel="0" collapsed="false">
      <c r="K3067" s="24" t="n">
        <f aca="false">IF(Search!$B$3="",0,IF($A3067="",N(K3066),IF(ISNUMBER(SEARCH(Search!$B$3,$A3067&amp;"")),N(K3066)+1,N(K3066))))</f>
        <v>0</v>
      </c>
    </row>
    <row r="3068" customFormat="false" ht="15" hidden="false" customHeight="false" outlineLevel="0" collapsed="false">
      <c r="K3068" s="24" t="n">
        <f aca="false">IF(Search!$B$3="",0,IF($A3068="",N(K3067),IF(ISNUMBER(SEARCH(Search!$B$3,$A3068&amp;"")),N(K3067)+1,N(K3067))))</f>
        <v>0</v>
      </c>
    </row>
    <row r="3069" customFormat="false" ht="15" hidden="false" customHeight="false" outlineLevel="0" collapsed="false">
      <c r="K3069" s="24" t="n">
        <f aca="false">IF(Search!$B$3="",0,IF($A3069="",N(K3068),IF(ISNUMBER(SEARCH(Search!$B$3,$A3069&amp;"")),N(K3068)+1,N(K3068))))</f>
        <v>0</v>
      </c>
    </row>
    <row r="3070" customFormat="false" ht="15" hidden="false" customHeight="false" outlineLevel="0" collapsed="false">
      <c r="K3070" s="24" t="n">
        <f aca="false">IF(Search!$B$3="",0,IF($A3070="",N(K3069),IF(ISNUMBER(SEARCH(Search!$B$3,$A3070&amp;"")),N(K3069)+1,N(K3069))))</f>
        <v>0</v>
      </c>
    </row>
    <row r="3071" customFormat="false" ht="15" hidden="false" customHeight="false" outlineLevel="0" collapsed="false">
      <c r="K3071" s="24" t="n">
        <f aca="false">IF(Search!$B$3="",0,IF($A3071="",N(K3070),IF(ISNUMBER(SEARCH(Search!$B$3,$A3071&amp;"")),N(K3070)+1,N(K3070))))</f>
        <v>0</v>
      </c>
    </row>
    <row r="3072" customFormat="false" ht="15" hidden="false" customHeight="false" outlineLevel="0" collapsed="false">
      <c r="K3072" s="24" t="n">
        <f aca="false">IF(Search!$B$3="",0,IF($A3072="",N(K3071),IF(ISNUMBER(SEARCH(Search!$B$3,$A3072&amp;"")),N(K3071)+1,N(K3071))))</f>
        <v>0</v>
      </c>
    </row>
    <row r="3073" customFormat="false" ht="15" hidden="false" customHeight="false" outlineLevel="0" collapsed="false">
      <c r="K3073" s="24" t="n">
        <f aca="false">IF(Search!$B$3="",0,IF($A3073="",N(K3072),IF(ISNUMBER(SEARCH(Search!$B$3,$A3073&amp;"")),N(K3072)+1,N(K3072))))</f>
        <v>0</v>
      </c>
    </row>
    <row r="3074" customFormat="false" ht="15" hidden="false" customHeight="false" outlineLevel="0" collapsed="false">
      <c r="K3074" s="24" t="n">
        <f aca="false">IF(Search!$B$3="",0,IF($A3074="",N(K3073),IF(ISNUMBER(SEARCH(Search!$B$3,$A3074&amp;"")),N(K3073)+1,N(K3073))))</f>
        <v>0</v>
      </c>
    </row>
    <row r="3075" customFormat="false" ht="15" hidden="false" customHeight="false" outlineLevel="0" collapsed="false">
      <c r="K3075" s="24" t="n">
        <f aca="false">IF(Search!$B$3="",0,IF($A3075="",N(K3074),IF(ISNUMBER(SEARCH(Search!$B$3,$A3075&amp;"")),N(K3074)+1,N(K3074))))</f>
        <v>0</v>
      </c>
    </row>
    <row r="3076" customFormat="false" ht="15" hidden="false" customHeight="false" outlineLevel="0" collapsed="false">
      <c r="K3076" s="24" t="n">
        <f aca="false">IF(Search!$B$3="",0,IF($A3076="",N(K3075),IF(ISNUMBER(SEARCH(Search!$B$3,$A3076&amp;"")),N(K3075)+1,N(K3075))))</f>
        <v>0</v>
      </c>
    </row>
    <row r="3077" customFormat="false" ht="15" hidden="false" customHeight="false" outlineLevel="0" collapsed="false">
      <c r="K3077" s="24" t="n">
        <f aca="false">IF(Search!$B$3="",0,IF($A3077="",N(K3076),IF(ISNUMBER(SEARCH(Search!$B$3,$A3077&amp;"")),N(K3076)+1,N(K3076))))</f>
        <v>0</v>
      </c>
    </row>
    <row r="3078" customFormat="false" ht="15" hidden="false" customHeight="false" outlineLevel="0" collapsed="false">
      <c r="K3078" s="24" t="n">
        <f aca="false">IF(Search!$B$3="",0,IF($A3078="",N(K3077),IF(ISNUMBER(SEARCH(Search!$B$3,$A3078&amp;"")),N(K3077)+1,N(K3077))))</f>
        <v>0</v>
      </c>
    </row>
    <row r="3079" customFormat="false" ht="15" hidden="false" customHeight="false" outlineLevel="0" collapsed="false">
      <c r="K3079" s="24" t="n">
        <f aca="false">IF(Search!$B$3="",0,IF($A3079="",N(K3078),IF(ISNUMBER(SEARCH(Search!$B$3,$A3079&amp;"")),N(K3078)+1,N(K3078))))</f>
        <v>0</v>
      </c>
    </row>
    <row r="3080" customFormat="false" ht="15" hidden="false" customHeight="false" outlineLevel="0" collapsed="false">
      <c r="K3080" s="24" t="n">
        <f aca="false">IF(Search!$B$3="",0,IF($A3080="",N(K3079),IF(ISNUMBER(SEARCH(Search!$B$3,$A3080&amp;"")),N(K3079)+1,N(K3079))))</f>
        <v>0</v>
      </c>
    </row>
    <row r="3081" customFormat="false" ht="15" hidden="false" customHeight="false" outlineLevel="0" collapsed="false">
      <c r="K3081" s="24" t="n">
        <f aca="false">IF(Search!$B$3="",0,IF($A3081="",N(K3080),IF(ISNUMBER(SEARCH(Search!$B$3,$A3081&amp;"")),N(K3080)+1,N(K3080))))</f>
        <v>0</v>
      </c>
    </row>
    <row r="3082" customFormat="false" ht="15" hidden="false" customHeight="false" outlineLevel="0" collapsed="false">
      <c r="K3082" s="24" t="n">
        <f aca="false">IF(Search!$B$3="",0,IF($A3082="",N(K3081),IF(ISNUMBER(SEARCH(Search!$B$3,$A3082&amp;"")),N(K3081)+1,N(K3081))))</f>
        <v>0</v>
      </c>
    </row>
    <row r="3083" customFormat="false" ht="15" hidden="false" customHeight="false" outlineLevel="0" collapsed="false">
      <c r="K3083" s="24" t="n">
        <f aca="false">IF(Search!$B$3="",0,IF($A3083="",N(K3082),IF(ISNUMBER(SEARCH(Search!$B$3,$A3083&amp;"")),N(K3082)+1,N(K3082))))</f>
        <v>0</v>
      </c>
    </row>
    <row r="3084" customFormat="false" ht="15" hidden="false" customHeight="false" outlineLevel="0" collapsed="false">
      <c r="K3084" s="24" t="n">
        <f aca="false">IF(Search!$B$3="",0,IF($A3084="",N(K3083),IF(ISNUMBER(SEARCH(Search!$B$3,$A3084&amp;"")),N(K3083)+1,N(K3083))))</f>
        <v>0</v>
      </c>
    </row>
    <row r="3085" customFormat="false" ht="15" hidden="false" customHeight="false" outlineLevel="0" collapsed="false">
      <c r="K3085" s="24" t="n">
        <f aca="false">IF(Search!$B$3="",0,IF($A3085="",N(K3084),IF(ISNUMBER(SEARCH(Search!$B$3,$A3085&amp;"")),N(K3084)+1,N(K3084))))</f>
        <v>0</v>
      </c>
    </row>
    <row r="3086" customFormat="false" ht="15" hidden="false" customHeight="false" outlineLevel="0" collapsed="false">
      <c r="K3086" s="24" t="n">
        <f aca="false">IF(Search!$B$3="",0,IF($A3086="",N(K3085),IF(ISNUMBER(SEARCH(Search!$B$3,$A3086&amp;"")),N(K3085)+1,N(K3085))))</f>
        <v>0</v>
      </c>
    </row>
    <row r="3087" customFormat="false" ht="15" hidden="false" customHeight="false" outlineLevel="0" collapsed="false">
      <c r="K3087" s="24" t="n">
        <f aca="false">IF(Search!$B$3="",0,IF($A3087="",N(K3086),IF(ISNUMBER(SEARCH(Search!$B$3,$A3087&amp;"")),N(K3086)+1,N(K3086))))</f>
        <v>0</v>
      </c>
    </row>
    <row r="3088" customFormat="false" ht="15" hidden="false" customHeight="false" outlineLevel="0" collapsed="false">
      <c r="K3088" s="24" t="n">
        <f aca="false">IF(Search!$B$3="",0,IF($A3088="",N(K3087),IF(ISNUMBER(SEARCH(Search!$B$3,$A3088&amp;"")),N(K3087)+1,N(K3087))))</f>
        <v>0</v>
      </c>
    </row>
    <row r="3089" customFormat="false" ht="15" hidden="false" customHeight="false" outlineLevel="0" collapsed="false">
      <c r="K3089" s="24" t="n">
        <f aca="false">IF(Search!$B$3="",0,IF($A3089="",N(K3088),IF(ISNUMBER(SEARCH(Search!$B$3,$A3089&amp;"")),N(K3088)+1,N(K3088))))</f>
        <v>0</v>
      </c>
    </row>
    <row r="3090" customFormat="false" ht="15" hidden="false" customHeight="false" outlineLevel="0" collapsed="false">
      <c r="K3090" s="24" t="n">
        <f aca="false">IF(Search!$B$3="",0,IF($A3090="",N(K3089),IF(ISNUMBER(SEARCH(Search!$B$3,$A3090&amp;"")),N(K3089)+1,N(K3089))))</f>
        <v>0</v>
      </c>
    </row>
    <row r="3091" customFormat="false" ht="15" hidden="false" customHeight="false" outlineLevel="0" collapsed="false">
      <c r="K3091" s="24" t="n">
        <f aca="false">IF(Search!$B$3="",0,IF($A3091="",N(K3090),IF(ISNUMBER(SEARCH(Search!$B$3,$A3091&amp;"")),N(K3090)+1,N(K3090))))</f>
        <v>0</v>
      </c>
    </row>
    <row r="3092" customFormat="false" ht="15" hidden="false" customHeight="false" outlineLevel="0" collapsed="false">
      <c r="K3092" s="24" t="n">
        <f aca="false">IF(Search!$B$3="",0,IF($A3092="",N(K3091),IF(ISNUMBER(SEARCH(Search!$B$3,$A3092&amp;"")),N(K3091)+1,N(K3091))))</f>
        <v>0</v>
      </c>
    </row>
    <row r="3093" customFormat="false" ht="15" hidden="false" customHeight="false" outlineLevel="0" collapsed="false">
      <c r="K3093" s="24" t="n">
        <f aca="false">IF(Search!$B$3="",0,IF($A3093="",N(K3092),IF(ISNUMBER(SEARCH(Search!$B$3,$A3093&amp;"")),N(K3092)+1,N(K3092))))</f>
        <v>0</v>
      </c>
    </row>
    <row r="3094" customFormat="false" ht="15" hidden="false" customHeight="false" outlineLevel="0" collapsed="false">
      <c r="K3094" s="24" t="n">
        <f aca="false">IF(Search!$B$3="",0,IF($A3094="",N(K3093),IF(ISNUMBER(SEARCH(Search!$B$3,$A3094&amp;"")),N(K3093)+1,N(K3093))))</f>
        <v>0</v>
      </c>
    </row>
    <row r="3095" customFormat="false" ht="15" hidden="false" customHeight="false" outlineLevel="0" collapsed="false">
      <c r="K3095" s="24" t="n">
        <f aca="false">IF(Search!$B$3="",0,IF($A3095="",N(K3094),IF(ISNUMBER(SEARCH(Search!$B$3,$A3095&amp;"")),N(K3094)+1,N(K3094))))</f>
        <v>0</v>
      </c>
    </row>
    <row r="3096" customFormat="false" ht="15" hidden="false" customHeight="false" outlineLevel="0" collapsed="false">
      <c r="K3096" s="24" t="n">
        <f aca="false">IF(Search!$B$3="",0,IF($A3096="",N(K3095),IF(ISNUMBER(SEARCH(Search!$B$3,$A3096&amp;"")),N(K3095)+1,N(K3095))))</f>
        <v>0</v>
      </c>
    </row>
    <row r="3097" customFormat="false" ht="15" hidden="false" customHeight="false" outlineLevel="0" collapsed="false">
      <c r="K3097" s="24" t="n">
        <f aca="false">IF(Search!$B$3="",0,IF($A3097="",N(K3096),IF(ISNUMBER(SEARCH(Search!$B$3,$A3097&amp;"")),N(K3096)+1,N(K3096))))</f>
        <v>0</v>
      </c>
    </row>
    <row r="3098" customFormat="false" ht="15" hidden="false" customHeight="false" outlineLevel="0" collapsed="false">
      <c r="K3098" s="24" t="n">
        <f aca="false">IF(Search!$B$3="",0,IF($A3098="",N(K3097),IF(ISNUMBER(SEARCH(Search!$B$3,$A3098&amp;"")),N(K3097)+1,N(K3097))))</f>
        <v>0</v>
      </c>
    </row>
    <row r="3099" customFormat="false" ht="15" hidden="false" customHeight="false" outlineLevel="0" collapsed="false">
      <c r="K3099" s="24" t="n">
        <f aca="false">IF(Search!$B$3="",0,IF($A3099="",N(K3098),IF(ISNUMBER(SEARCH(Search!$B$3,$A3099&amp;"")),N(K3098)+1,N(K3098))))</f>
        <v>0</v>
      </c>
    </row>
    <row r="3100" customFormat="false" ht="15" hidden="false" customHeight="false" outlineLevel="0" collapsed="false">
      <c r="K3100" s="24" t="n">
        <f aca="false">IF(Search!$B$3="",0,IF($A3100="",N(K3099),IF(ISNUMBER(SEARCH(Search!$B$3,$A3100&amp;"")),N(K3099)+1,N(K3099))))</f>
        <v>0</v>
      </c>
    </row>
    <row r="3101" customFormat="false" ht="15" hidden="false" customHeight="false" outlineLevel="0" collapsed="false">
      <c r="K3101" s="24" t="n">
        <f aca="false">IF(Search!$B$3="",0,IF($A3101="",N(K3100),IF(ISNUMBER(SEARCH(Search!$B$3,$A3101&amp;"")),N(K3100)+1,N(K3100))))</f>
        <v>0</v>
      </c>
    </row>
    <row r="3102" customFormat="false" ht="15" hidden="false" customHeight="false" outlineLevel="0" collapsed="false">
      <c r="K3102" s="24" t="n">
        <f aca="false">IF(Search!$B$3="",0,IF($A3102="",N(K3101),IF(ISNUMBER(SEARCH(Search!$B$3,$A3102&amp;"")),N(K3101)+1,N(K3101))))</f>
        <v>0</v>
      </c>
    </row>
    <row r="3103" customFormat="false" ht="15" hidden="false" customHeight="false" outlineLevel="0" collapsed="false">
      <c r="K3103" s="24" t="n">
        <f aca="false">IF(Search!$B$3="",0,IF($A3103="",N(K3102),IF(ISNUMBER(SEARCH(Search!$B$3,$A3103&amp;"")),N(K3102)+1,N(K3102))))</f>
        <v>0</v>
      </c>
    </row>
    <row r="3104" customFormat="false" ht="15" hidden="false" customHeight="false" outlineLevel="0" collapsed="false">
      <c r="K3104" s="24" t="n">
        <f aca="false">IF(Search!$B$3="",0,IF($A3104="",N(K3103),IF(ISNUMBER(SEARCH(Search!$B$3,$A3104&amp;"")),N(K3103)+1,N(K3103))))</f>
        <v>0</v>
      </c>
    </row>
    <row r="3105" customFormat="false" ht="15" hidden="false" customHeight="false" outlineLevel="0" collapsed="false">
      <c r="K3105" s="24" t="n">
        <f aca="false">IF(Search!$B$3="",0,IF($A3105="",N(K3104),IF(ISNUMBER(SEARCH(Search!$B$3,$A3105&amp;"")),N(K3104)+1,N(K3104))))</f>
        <v>0</v>
      </c>
    </row>
    <row r="3106" customFormat="false" ht="15" hidden="false" customHeight="false" outlineLevel="0" collapsed="false">
      <c r="K3106" s="24" t="n">
        <f aca="false">IF(Search!$B$3="",0,IF($A3106="",N(K3105),IF(ISNUMBER(SEARCH(Search!$B$3,$A3106&amp;"")),N(K3105)+1,N(K3105))))</f>
        <v>0</v>
      </c>
    </row>
    <row r="3107" customFormat="false" ht="15" hidden="false" customHeight="false" outlineLevel="0" collapsed="false">
      <c r="K3107" s="24" t="n">
        <f aca="false">IF(Search!$B$3="",0,IF($A3107="",N(K3106),IF(ISNUMBER(SEARCH(Search!$B$3,$A3107&amp;"")),N(K3106)+1,N(K3106))))</f>
        <v>0</v>
      </c>
    </row>
    <row r="3108" customFormat="false" ht="15" hidden="false" customHeight="false" outlineLevel="0" collapsed="false">
      <c r="K3108" s="24" t="n">
        <f aca="false">IF(Search!$B$3="",0,IF($A3108="",N(K3107),IF(ISNUMBER(SEARCH(Search!$B$3,$A3108&amp;"")),N(K3107)+1,N(K3107))))</f>
        <v>0</v>
      </c>
    </row>
    <row r="3109" customFormat="false" ht="15" hidden="false" customHeight="false" outlineLevel="0" collapsed="false">
      <c r="K3109" s="24" t="n">
        <f aca="false">IF(Search!$B$3="",0,IF($A3109="",N(K3108),IF(ISNUMBER(SEARCH(Search!$B$3,$A3109&amp;"")),N(K3108)+1,N(K3108))))</f>
        <v>0</v>
      </c>
    </row>
    <row r="3110" customFormat="false" ht="15" hidden="false" customHeight="false" outlineLevel="0" collapsed="false">
      <c r="K3110" s="24" t="n">
        <f aca="false">IF(Search!$B$3="",0,IF($A3110="",N(K3109),IF(ISNUMBER(SEARCH(Search!$B$3,$A3110&amp;"")),N(K3109)+1,N(K3109))))</f>
        <v>0</v>
      </c>
    </row>
    <row r="3111" customFormat="false" ht="15" hidden="false" customHeight="false" outlineLevel="0" collapsed="false">
      <c r="K3111" s="24" t="n">
        <f aca="false">IF(Search!$B$3="",0,IF($A3111="",N(K3110),IF(ISNUMBER(SEARCH(Search!$B$3,$A3111&amp;"")),N(K3110)+1,N(K3110))))</f>
        <v>0</v>
      </c>
    </row>
    <row r="3112" customFormat="false" ht="15" hidden="false" customHeight="false" outlineLevel="0" collapsed="false">
      <c r="K3112" s="24" t="n">
        <f aca="false">IF(Search!$B$3="",0,IF($A3112="",N(K3111),IF(ISNUMBER(SEARCH(Search!$B$3,$A3112&amp;"")),N(K3111)+1,N(K3111))))</f>
        <v>0</v>
      </c>
    </row>
    <row r="3113" customFormat="false" ht="15" hidden="false" customHeight="false" outlineLevel="0" collapsed="false">
      <c r="K3113" s="24" t="n">
        <f aca="false">IF(Search!$B$3="",0,IF($A3113="",N(K3112),IF(ISNUMBER(SEARCH(Search!$B$3,$A3113&amp;"")),N(K3112)+1,N(K3112))))</f>
        <v>0</v>
      </c>
    </row>
    <row r="3114" customFormat="false" ht="15" hidden="false" customHeight="false" outlineLevel="0" collapsed="false">
      <c r="K3114" s="24" t="n">
        <f aca="false">IF(Search!$B$3="",0,IF($A3114="",N(K3113),IF(ISNUMBER(SEARCH(Search!$B$3,$A3114&amp;"")),N(K3113)+1,N(K3113))))</f>
        <v>0</v>
      </c>
    </row>
    <row r="3115" customFormat="false" ht="15" hidden="false" customHeight="false" outlineLevel="0" collapsed="false">
      <c r="K3115" s="24" t="n">
        <f aca="false">IF(Search!$B$3="",0,IF($A3115="",N(K3114),IF(ISNUMBER(SEARCH(Search!$B$3,$A3115&amp;"")),N(K3114)+1,N(K3114))))</f>
        <v>0</v>
      </c>
    </row>
    <row r="3116" customFormat="false" ht="15" hidden="false" customHeight="false" outlineLevel="0" collapsed="false">
      <c r="K3116" s="24" t="n">
        <f aca="false">IF(Search!$B$3="",0,IF($A3116="",N(K3115),IF(ISNUMBER(SEARCH(Search!$B$3,$A3116&amp;"")),N(K3115)+1,N(K3115))))</f>
        <v>0</v>
      </c>
    </row>
    <row r="3117" customFormat="false" ht="15" hidden="false" customHeight="false" outlineLevel="0" collapsed="false">
      <c r="K3117" s="24" t="n">
        <f aca="false">IF(Search!$B$3="",0,IF($A3117="",N(K3116),IF(ISNUMBER(SEARCH(Search!$B$3,$A3117&amp;"")),N(K3116)+1,N(K3116))))</f>
        <v>0</v>
      </c>
    </row>
    <row r="3118" customFormat="false" ht="15" hidden="false" customHeight="false" outlineLevel="0" collapsed="false">
      <c r="K3118" s="24" t="n">
        <f aca="false">IF(Search!$B$3="",0,IF($A3118="",N(K3117),IF(ISNUMBER(SEARCH(Search!$B$3,$A3118&amp;"")),N(K3117)+1,N(K3117))))</f>
        <v>0</v>
      </c>
    </row>
    <row r="3119" customFormat="false" ht="15" hidden="false" customHeight="false" outlineLevel="0" collapsed="false">
      <c r="K3119" s="24" t="n">
        <f aca="false">IF(Search!$B$3="",0,IF($A3119="",N(K3118),IF(ISNUMBER(SEARCH(Search!$B$3,$A3119&amp;"")),N(K3118)+1,N(K3118))))</f>
        <v>0</v>
      </c>
    </row>
    <row r="3120" customFormat="false" ht="15" hidden="false" customHeight="false" outlineLevel="0" collapsed="false">
      <c r="K3120" s="24" t="n">
        <f aca="false">IF(Search!$B$3="",0,IF($A3120="",N(K3119),IF(ISNUMBER(SEARCH(Search!$B$3,$A3120&amp;"")),N(K3119)+1,N(K3119))))</f>
        <v>0</v>
      </c>
    </row>
    <row r="3121" customFormat="false" ht="15" hidden="false" customHeight="false" outlineLevel="0" collapsed="false">
      <c r="K3121" s="24" t="n">
        <f aca="false">IF(Search!$B$3="",0,IF($A3121="",N(K3120),IF(ISNUMBER(SEARCH(Search!$B$3,$A3121&amp;"")),N(K3120)+1,N(K3120))))</f>
        <v>0</v>
      </c>
    </row>
    <row r="3122" customFormat="false" ht="15" hidden="false" customHeight="false" outlineLevel="0" collapsed="false">
      <c r="K3122" s="24" t="n">
        <f aca="false">IF(Search!$B$3="",0,IF($A3122="",N(K3121),IF(ISNUMBER(SEARCH(Search!$B$3,$A3122&amp;"")),N(K3121)+1,N(K3121))))</f>
        <v>0</v>
      </c>
    </row>
    <row r="3123" customFormat="false" ht="15" hidden="false" customHeight="false" outlineLevel="0" collapsed="false">
      <c r="K3123" s="24" t="n">
        <f aca="false">IF(Search!$B$3="",0,IF($A3123="",N(K3122),IF(ISNUMBER(SEARCH(Search!$B$3,$A3123&amp;"")),N(K3122)+1,N(K3122))))</f>
        <v>0</v>
      </c>
    </row>
    <row r="3124" customFormat="false" ht="15" hidden="false" customHeight="false" outlineLevel="0" collapsed="false">
      <c r="K3124" s="24" t="n">
        <f aca="false">IF(Search!$B$3="",0,IF($A3124="",N(K3123),IF(ISNUMBER(SEARCH(Search!$B$3,$A3124&amp;"")),N(K3123)+1,N(K3123))))</f>
        <v>0</v>
      </c>
    </row>
    <row r="3125" customFormat="false" ht="15" hidden="false" customHeight="false" outlineLevel="0" collapsed="false">
      <c r="K3125" s="24" t="n">
        <f aca="false">IF(Search!$B$3="",0,IF($A3125="",N(K3124),IF(ISNUMBER(SEARCH(Search!$B$3,$A3125&amp;"")),N(K3124)+1,N(K3124))))</f>
        <v>0</v>
      </c>
    </row>
    <row r="3126" customFormat="false" ht="15" hidden="false" customHeight="false" outlineLevel="0" collapsed="false">
      <c r="K3126" s="24" t="n">
        <f aca="false">IF(Search!$B$3="",0,IF($A3126="",N(K3125),IF(ISNUMBER(SEARCH(Search!$B$3,$A3126&amp;"")),N(K3125)+1,N(K3125))))</f>
        <v>0</v>
      </c>
    </row>
    <row r="3127" customFormat="false" ht="15" hidden="false" customHeight="false" outlineLevel="0" collapsed="false">
      <c r="K3127" s="24" t="n">
        <f aca="false">IF(Search!$B$3="",0,IF($A3127="",N(K3126),IF(ISNUMBER(SEARCH(Search!$B$3,$A3127&amp;"")),N(K3126)+1,N(K3126))))</f>
        <v>0</v>
      </c>
    </row>
    <row r="3128" customFormat="false" ht="15" hidden="false" customHeight="false" outlineLevel="0" collapsed="false">
      <c r="K3128" s="24" t="n">
        <f aca="false">IF(Search!$B$3="",0,IF($A3128="",N(K3127),IF(ISNUMBER(SEARCH(Search!$B$3,$A3128&amp;"")),N(K3127)+1,N(K3127))))</f>
        <v>0</v>
      </c>
    </row>
    <row r="3129" customFormat="false" ht="15" hidden="false" customHeight="false" outlineLevel="0" collapsed="false">
      <c r="K3129" s="24" t="n">
        <f aca="false">IF(Search!$B$3="",0,IF($A3129="",N(K3128),IF(ISNUMBER(SEARCH(Search!$B$3,$A3129&amp;"")),N(K3128)+1,N(K3128))))</f>
        <v>0</v>
      </c>
    </row>
    <row r="3130" customFormat="false" ht="15" hidden="false" customHeight="false" outlineLevel="0" collapsed="false">
      <c r="K3130" s="24" t="n">
        <f aca="false">IF(Search!$B$3="",0,IF($A3130="",N(K3129),IF(ISNUMBER(SEARCH(Search!$B$3,$A3130&amp;"")),N(K3129)+1,N(K3129))))</f>
        <v>0</v>
      </c>
    </row>
    <row r="3131" customFormat="false" ht="15" hidden="false" customHeight="false" outlineLevel="0" collapsed="false">
      <c r="K3131" s="24" t="n">
        <f aca="false">IF(Search!$B$3="",0,IF($A3131="",N(K3130),IF(ISNUMBER(SEARCH(Search!$B$3,$A3131&amp;"")),N(K3130)+1,N(K3130))))</f>
        <v>0</v>
      </c>
    </row>
    <row r="3132" customFormat="false" ht="15" hidden="false" customHeight="false" outlineLevel="0" collapsed="false">
      <c r="K3132" s="24" t="n">
        <f aca="false">IF(Search!$B$3="",0,IF($A3132="",N(K3131),IF(ISNUMBER(SEARCH(Search!$B$3,$A3132&amp;"")),N(K3131)+1,N(K3131))))</f>
        <v>0</v>
      </c>
    </row>
    <row r="3133" customFormat="false" ht="15" hidden="false" customHeight="false" outlineLevel="0" collapsed="false">
      <c r="K3133" s="24" t="n">
        <f aca="false">IF(Search!$B$3="",0,IF($A3133="",N(K3132),IF(ISNUMBER(SEARCH(Search!$B$3,$A3133&amp;"")),N(K3132)+1,N(K3132))))</f>
        <v>0</v>
      </c>
    </row>
    <row r="3134" customFormat="false" ht="15" hidden="false" customHeight="false" outlineLevel="0" collapsed="false">
      <c r="K3134" s="24" t="n">
        <f aca="false">IF(Search!$B$3="",0,IF($A3134="",N(K3133),IF(ISNUMBER(SEARCH(Search!$B$3,$A3134&amp;"")),N(K3133)+1,N(K3133))))</f>
        <v>0</v>
      </c>
    </row>
    <row r="3135" customFormat="false" ht="15" hidden="false" customHeight="false" outlineLevel="0" collapsed="false">
      <c r="K3135" s="24" t="n">
        <f aca="false">IF(Search!$B$3="",0,IF($A3135="",N(K3134),IF(ISNUMBER(SEARCH(Search!$B$3,$A3135&amp;"")),N(K3134)+1,N(K3134))))</f>
        <v>0</v>
      </c>
    </row>
    <row r="3136" customFormat="false" ht="15" hidden="false" customHeight="false" outlineLevel="0" collapsed="false">
      <c r="K3136" s="24" t="n">
        <f aca="false">IF(Search!$B$3="",0,IF($A3136="",N(K3135),IF(ISNUMBER(SEARCH(Search!$B$3,$A3136&amp;"")),N(K3135)+1,N(K3135))))</f>
        <v>0</v>
      </c>
    </row>
    <row r="3137" customFormat="false" ht="15" hidden="false" customHeight="false" outlineLevel="0" collapsed="false">
      <c r="K3137" s="24" t="n">
        <f aca="false">IF(Search!$B$3="",0,IF($A3137="",N(K3136),IF(ISNUMBER(SEARCH(Search!$B$3,$A3137&amp;"")),N(K3136)+1,N(K3136))))</f>
        <v>0</v>
      </c>
    </row>
    <row r="3138" customFormat="false" ht="15" hidden="false" customHeight="false" outlineLevel="0" collapsed="false">
      <c r="K3138" s="24" t="n">
        <f aca="false">IF(Search!$B$3="",0,IF($A3138="",N(K3137),IF(ISNUMBER(SEARCH(Search!$B$3,$A3138&amp;"")),N(K3137)+1,N(K3137))))</f>
        <v>0</v>
      </c>
    </row>
    <row r="3139" customFormat="false" ht="15" hidden="false" customHeight="false" outlineLevel="0" collapsed="false">
      <c r="K3139" s="24" t="n">
        <f aca="false">IF(Search!$B$3="",0,IF($A3139="",N(K3138),IF(ISNUMBER(SEARCH(Search!$B$3,$A3139&amp;"")),N(K3138)+1,N(K3138))))</f>
        <v>0</v>
      </c>
    </row>
    <row r="3140" customFormat="false" ht="15" hidden="false" customHeight="false" outlineLevel="0" collapsed="false">
      <c r="K3140" s="24" t="n">
        <f aca="false">IF(Search!$B$3="",0,IF($A3140="",N(K3139),IF(ISNUMBER(SEARCH(Search!$B$3,$A3140&amp;"")),N(K3139)+1,N(K3139))))</f>
        <v>0</v>
      </c>
    </row>
    <row r="3141" customFormat="false" ht="15" hidden="false" customHeight="false" outlineLevel="0" collapsed="false">
      <c r="K3141" s="24" t="n">
        <f aca="false">IF(Search!$B$3="",0,IF($A3141="",N(K3140),IF(ISNUMBER(SEARCH(Search!$B$3,$A3141&amp;"")),N(K3140)+1,N(K3140))))</f>
        <v>0</v>
      </c>
    </row>
    <row r="3142" customFormat="false" ht="15" hidden="false" customHeight="false" outlineLevel="0" collapsed="false">
      <c r="K3142" s="24" t="n">
        <f aca="false">IF(Search!$B$3="",0,IF($A3142="",N(K3141),IF(ISNUMBER(SEARCH(Search!$B$3,$A3142&amp;"")),N(K3141)+1,N(K3141))))</f>
        <v>0</v>
      </c>
    </row>
    <row r="3143" customFormat="false" ht="15" hidden="false" customHeight="false" outlineLevel="0" collapsed="false">
      <c r="K3143" s="24" t="n">
        <f aca="false">IF(Search!$B$3="",0,IF($A3143="",N(K3142),IF(ISNUMBER(SEARCH(Search!$B$3,$A3143&amp;"")),N(K3142)+1,N(K3142))))</f>
        <v>0</v>
      </c>
    </row>
    <row r="3144" customFormat="false" ht="15" hidden="false" customHeight="false" outlineLevel="0" collapsed="false">
      <c r="K3144" s="24" t="n">
        <f aca="false">IF(Search!$B$3="",0,IF($A3144="",N(K3143),IF(ISNUMBER(SEARCH(Search!$B$3,$A3144&amp;"")),N(K3143)+1,N(K3143))))</f>
        <v>0</v>
      </c>
    </row>
    <row r="3145" customFormat="false" ht="15" hidden="false" customHeight="false" outlineLevel="0" collapsed="false">
      <c r="K3145" s="24" t="n">
        <f aca="false">IF(Search!$B$3="",0,IF($A3145="",N(K3144),IF(ISNUMBER(SEARCH(Search!$B$3,$A3145&amp;"")),N(K3144)+1,N(K3144))))</f>
        <v>0</v>
      </c>
    </row>
    <row r="3146" customFormat="false" ht="15" hidden="false" customHeight="false" outlineLevel="0" collapsed="false">
      <c r="K3146" s="24" t="n">
        <f aca="false">IF(Search!$B$3="",0,IF($A3146="",N(K3145),IF(ISNUMBER(SEARCH(Search!$B$3,$A3146&amp;"")),N(K3145)+1,N(K3145))))</f>
        <v>0</v>
      </c>
    </row>
    <row r="3147" customFormat="false" ht="15" hidden="false" customHeight="false" outlineLevel="0" collapsed="false">
      <c r="K3147" s="24" t="n">
        <f aca="false">IF(Search!$B$3="",0,IF($A3147="",N(K3146),IF(ISNUMBER(SEARCH(Search!$B$3,$A3147&amp;"")),N(K3146)+1,N(K3146))))</f>
        <v>0</v>
      </c>
    </row>
    <row r="3148" customFormat="false" ht="15" hidden="false" customHeight="false" outlineLevel="0" collapsed="false">
      <c r="K3148" s="24" t="n">
        <f aca="false">IF(Search!$B$3="",0,IF($A3148="",N(K3147),IF(ISNUMBER(SEARCH(Search!$B$3,$A3148&amp;"")),N(K3147)+1,N(K3147))))</f>
        <v>0</v>
      </c>
    </row>
    <row r="3149" customFormat="false" ht="15" hidden="false" customHeight="false" outlineLevel="0" collapsed="false">
      <c r="K3149" s="24" t="n">
        <f aca="false">IF(Search!$B$3="",0,IF($A3149="",N(K3148),IF(ISNUMBER(SEARCH(Search!$B$3,$A3149&amp;"")),N(K3148)+1,N(K3148))))</f>
        <v>0</v>
      </c>
    </row>
    <row r="3150" customFormat="false" ht="15" hidden="false" customHeight="false" outlineLevel="0" collapsed="false">
      <c r="K3150" s="24" t="n">
        <f aca="false">IF(Search!$B$3="",0,IF($A3150="",N(K3149),IF(ISNUMBER(SEARCH(Search!$B$3,$A3150&amp;"")),N(K3149)+1,N(K3149))))</f>
        <v>0</v>
      </c>
    </row>
    <row r="3151" customFormat="false" ht="15" hidden="false" customHeight="false" outlineLevel="0" collapsed="false">
      <c r="K3151" s="24" t="n">
        <f aca="false">IF(Search!$B$3="",0,IF($A3151="",N(K3150),IF(ISNUMBER(SEARCH(Search!$B$3,$A3151&amp;"")),N(K3150)+1,N(K3150))))</f>
        <v>0</v>
      </c>
    </row>
    <row r="3152" customFormat="false" ht="15" hidden="false" customHeight="false" outlineLevel="0" collapsed="false">
      <c r="K3152" s="24" t="n">
        <f aca="false">IF(Search!$B$3="",0,IF($A3152="",N(K3151),IF(ISNUMBER(SEARCH(Search!$B$3,$A3152&amp;"")),N(K3151)+1,N(K3151))))</f>
        <v>0</v>
      </c>
    </row>
    <row r="3153" customFormat="false" ht="15" hidden="false" customHeight="false" outlineLevel="0" collapsed="false">
      <c r="K3153" s="24" t="n">
        <f aca="false">IF(Search!$B$3="",0,IF($A3153="",N(K3152),IF(ISNUMBER(SEARCH(Search!$B$3,$A3153&amp;"")),N(K3152)+1,N(K3152))))</f>
        <v>0</v>
      </c>
    </row>
    <row r="3154" customFormat="false" ht="15" hidden="false" customHeight="false" outlineLevel="0" collapsed="false">
      <c r="K3154" s="24" t="n">
        <f aca="false">IF(Search!$B$3="",0,IF($A3154="",N(K3153),IF(ISNUMBER(SEARCH(Search!$B$3,$A3154&amp;"")),N(K3153)+1,N(K3153))))</f>
        <v>0</v>
      </c>
    </row>
    <row r="3155" customFormat="false" ht="15" hidden="false" customHeight="false" outlineLevel="0" collapsed="false">
      <c r="K3155" s="24" t="n">
        <f aca="false">IF(Search!$B$3="",0,IF($A3155="",N(K3154),IF(ISNUMBER(SEARCH(Search!$B$3,$A3155&amp;"")),N(K3154)+1,N(K3154))))</f>
        <v>0</v>
      </c>
    </row>
    <row r="3156" customFormat="false" ht="15" hidden="false" customHeight="false" outlineLevel="0" collapsed="false">
      <c r="K3156" s="24" t="n">
        <f aca="false">IF(Search!$B$3="",0,IF($A3156="",N(K3155),IF(ISNUMBER(SEARCH(Search!$B$3,$A3156&amp;"")),N(K3155)+1,N(K3155))))</f>
        <v>0</v>
      </c>
    </row>
    <row r="3157" customFormat="false" ht="15" hidden="false" customHeight="false" outlineLevel="0" collapsed="false">
      <c r="K3157" s="24" t="n">
        <f aca="false">IF(Search!$B$3="",0,IF($A3157="",N(K3156),IF(ISNUMBER(SEARCH(Search!$B$3,$A3157&amp;"")),N(K3156)+1,N(K3156))))</f>
        <v>0</v>
      </c>
    </row>
    <row r="3158" customFormat="false" ht="15" hidden="false" customHeight="false" outlineLevel="0" collapsed="false">
      <c r="K3158" s="24" t="n">
        <f aca="false">IF(Search!$B$3="",0,IF($A3158="",N(K3157),IF(ISNUMBER(SEARCH(Search!$B$3,$A3158&amp;"")),N(K3157)+1,N(K3157))))</f>
        <v>0</v>
      </c>
    </row>
    <row r="3159" customFormat="false" ht="15" hidden="false" customHeight="false" outlineLevel="0" collapsed="false">
      <c r="K3159" s="24" t="n">
        <f aca="false">IF(Search!$B$3="",0,IF($A3159="",N(K3158),IF(ISNUMBER(SEARCH(Search!$B$3,$A3159&amp;"")),N(K3158)+1,N(K3158))))</f>
        <v>0</v>
      </c>
    </row>
    <row r="3160" customFormat="false" ht="15" hidden="false" customHeight="false" outlineLevel="0" collapsed="false">
      <c r="K3160" s="24" t="n">
        <f aca="false">IF(Search!$B$3="",0,IF($A3160="",N(K3159),IF(ISNUMBER(SEARCH(Search!$B$3,$A3160&amp;"")),N(K3159)+1,N(K3159))))</f>
        <v>0</v>
      </c>
    </row>
    <row r="3161" customFormat="false" ht="15" hidden="false" customHeight="false" outlineLevel="0" collapsed="false">
      <c r="K3161" s="24" t="n">
        <f aca="false">IF(Search!$B$3="",0,IF($A3161="",N(K3160),IF(ISNUMBER(SEARCH(Search!$B$3,$A3161&amp;"")),N(K3160)+1,N(K3160))))</f>
        <v>0</v>
      </c>
    </row>
    <row r="3162" customFormat="false" ht="15" hidden="false" customHeight="false" outlineLevel="0" collapsed="false">
      <c r="K3162" s="24" t="n">
        <f aca="false">IF(Search!$B$3="",0,IF($A3162="",N(K3161),IF(ISNUMBER(SEARCH(Search!$B$3,$A3162&amp;"")),N(K3161)+1,N(K3161))))</f>
        <v>0</v>
      </c>
    </row>
    <row r="3163" customFormat="false" ht="15" hidden="false" customHeight="false" outlineLevel="0" collapsed="false">
      <c r="K3163" s="24" t="n">
        <f aca="false">IF(Search!$B$3="",0,IF($A3163="",N(K3162),IF(ISNUMBER(SEARCH(Search!$B$3,$A3163&amp;"")),N(K3162)+1,N(K3162))))</f>
        <v>0</v>
      </c>
    </row>
    <row r="3164" customFormat="false" ht="15" hidden="false" customHeight="false" outlineLevel="0" collapsed="false">
      <c r="K3164" s="24" t="n">
        <f aca="false">IF(Search!$B$3="",0,IF($A3164="",N(K3163),IF(ISNUMBER(SEARCH(Search!$B$3,$A3164&amp;"")),N(K3163)+1,N(K3163))))</f>
        <v>0</v>
      </c>
    </row>
    <row r="3165" customFormat="false" ht="15" hidden="false" customHeight="false" outlineLevel="0" collapsed="false">
      <c r="K3165" s="24" t="n">
        <f aca="false">IF(Search!$B$3="",0,IF($A3165="",N(K3164),IF(ISNUMBER(SEARCH(Search!$B$3,$A3165&amp;"")),N(K3164)+1,N(K3164))))</f>
        <v>0</v>
      </c>
    </row>
    <row r="3166" customFormat="false" ht="15" hidden="false" customHeight="false" outlineLevel="0" collapsed="false">
      <c r="K3166" s="24" t="n">
        <f aca="false">IF(Search!$B$3="",0,IF($A3166="",N(K3165),IF(ISNUMBER(SEARCH(Search!$B$3,$A3166&amp;"")),N(K3165)+1,N(K3165))))</f>
        <v>0</v>
      </c>
    </row>
    <row r="3167" customFormat="false" ht="15" hidden="false" customHeight="false" outlineLevel="0" collapsed="false">
      <c r="K3167" s="24" t="n">
        <f aca="false">IF(Search!$B$3="",0,IF($A3167="",N(K3166),IF(ISNUMBER(SEARCH(Search!$B$3,$A3167&amp;"")),N(K3166)+1,N(K3166))))</f>
        <v>0</v>
      </c>
    </row>
    <row r="3168" customFormat="false" ht="15" hidden="false" customHeight="false" outlineLevel="0" collapsed="false">
      <c r="K3168" s="24" t="n">
        <f aca="false">IF(Search!$B$3="",0,IF($A3168="",N(K3167),IF(ISNUMBER(SEARCH(Search!$B$3,$A3168&amp;"")),N(K3167)+1,N(K3167))))</f>
        <v>0</v>
      </c>
    </row>
    <row r="3169" customFormat="false" ht="15" hidden="false" customHeight="false" outlineLevel="0" collapsed="false">
      <c r="K3169" s="24" t="n">
        <f aca="false">IF(Search!$B$3="",0,IF($A3169="",N(K3168),IF(ISNUMBER(SEARCH(Search!$B$3,$A3169&amp;"")),N(K3168)+1,N(K3168))))</f>
        <v>0</v>
      </c>
    </row>
    <row r="3170" customFormat="false" ht="15" hidden="false" customHeight="false" outlineLevel="0" collapsed="false">
      <c r="K3170" s="24" t="n">
        <f aca="false">IF(Search!$B$3="",0,IF($A3170="",N(K3169),IF(ISNUMBER(SEARCH(Search!$B$3,$A3170&amp;"")),N(K3169)+1,N(K3169))))</f>
        <v>0</v>
      </c>
    </row>
    <row r="3171" customFormat="false" ht="15" hidden="false" customHeight="false" outlineLevel="0" collapsed="false">
      <c r="K3171" s="24" t="n">
        <f aca="false">IF(Search!$B$3="",0,IF($A3171="",N(K3170),IF(ISNUMBER(SEARCH(Search!$B$3,$A3171&amp;"")),N(K3170)+1,N(K3170))))</f>
        <v>0</v>
      </c>
    </row>
    <row r="3172" customFormat="false" ht="15" hidden="false" customHeight="false" outlineLevel="0" collapsed="false">
      <c r="K3172" s="24" t="n">
        <f aca="false">IF(Search!$B$3="",0,IF($A3172="",N(K3171),IF(ISNUMBER(SEARCH(Search!$B$3,$A3172&amp;"")),N(K3171)+1,N(K3171))))</f>
        <v>0</v>
      </c>
    </row>
    <row r="3173" customFormat="false" ht="15" hidden="false" customHeight="false" outlineLevel="0" collapsed="false">
      <c r="K3173" s="24" t="n">
        <f aca="false">IF(Search!$B$3="",0,IF($A3173="",N(K3172),IF(ISNUMBER(SEARCH(Search!$B$3,$A3173&amp;"")),N(K3172)+1,N(K3172))))</f>
        <v>0</v>
      </c>
    </row>
    <row r="3174" customFormat="false" ht="15" hidden="false" customHeight="false" outlineLevel="0" collapsed="false">
      <c r="K3174" s="24" t="n">
        <f aca="false">IF(Search!$B$3="",0,IF($A3174="",N(K3173),IF(ISNUMBER(SEARCH(Search!$B$3,$A3174&amp;"")),N(K3173)+1,N(K3173))))</f>
        <v>0</v>
      </c>
    </row>
    <row r="3175" customFormat="false" ht="15" hidden="false" customHeight="false" outlineLevel="0" collapsed="false">
      <c r="K3175" s="24" t="n">
        <f aca="false">IF(Search!$B$3="",0,IF($A3175="",N(K3174),IF(ISNUMBER(SEARCH(Search!$B$3,$A3175&amp;"")),N(K3174)+1,N(K3174))))</f>
        <v>0</v>
      </c>
    </row>
    <row r="3176" customFormat="false" ht="15" hidden="false" customHeight="false" outlineLevel="0" collapsed="false">
      <c r="K3176" s="24" t="n">
        <f aca="false">IF(Search!$B$3="",0,IF($A3176="",N(K3175),IF(ISNUMBER(SEARCH(Search!$B$3,$A3176&amp;"")),N(K3175)+1,N(K3175))))</f>
        <v>0</v>
      </c>
    </row>
    <row r="3177" customFormat="false" ht="15" hidden="false" customHeight="false" outlineLevel="0" collapsed="false">
      <c r="K3177" s="24" t="n">
        <f aca="false">IF(Search!$B$3="",0,IF($A3177="",N(K3176),IF(ISNUMBER(SEARCH(Search!$B$3,$A3177&amp;"")),N(K3176)+1,N(K3176))))</f>
        <v>0</v>
      </c>
    </row>
    <row r="3178" customFormat="false" ht="15" hidden="false" customHeight="false" outlineLevel="0" collapsed="false">
      <c r="K3178" s="24" t="n">
        <f aca="false">IF(Search!$B$3="",0,IF($A3178="",N(K3177),IF(ISNUMBER(SEARCH(Search!$B$3,$A3178&amp;"")),N(K3177)+1,N(K3177))))</f>
        <v>0</v>
      </c>
    </row>
    <row r="3179" customFormat="false" ht="15" hidden="false" customHeight="false" outlineLevel="0" collapsed="false">
      <c r="K3179" s="24" t="n">
        <f aca="false">IF(Search!$B$3="",0,IF($A3179="",N(K3178),IF(ISNUMBER(SEARCH(Search!$B$3,$A3179&amp;"")),N(K3178)+1,N(K3178))))</f>
        <v>0</v>
      </c>
    </row>
    <row r="3180" customFormat="false" ht="15" hidden="false" customHeight="false" outlineLevel="0" collapsed="false">
      <c r="K3180" s="24" t="n">
        <f aca="false">IF(Search!$B$3="",0,IF($A3180="",N(K3179),IF(ISNUMBER(SEARCH(Search!$B$3,$A3180&amp;"")),N(K3179)+1,N(K3179))))</f>
        <v>0</v>
      </c>
    </row>
    <row r="3181" customFormat="false" ht="15" hidden="false" customHeight="false" outlineLevel="0" collapsed="false">
      <c r="K3181" s="24" t="n">
        <f aca="false">IF(Search!$B$3="",0,IF($A3181="",N(K3180),IF(ISNUMBER(SEARCH(Search!$B$3,$A3181&amp;"")),N(K3180)+1,N(K3180))))</f>
        <v>0</v>
      </c>
    </row>
    <row r="3182" customFormat="false" ht="15" hidden="false" customHeight="false" outlineLevel="0" collapsed="false">
      <c r="K3182" s="24" t="n">
        <f aca="false">IF(Search!$B$3="",0,IF($A3182="",N(K3181),IF(ISNUMBER(SEARCH(Search!$B$3,$A3182&amp;"")),N(K3181)+1,N(K3181))))</f>
        <v>0</v>
      </c>
    </row>
    <row r="3183" customFormat="false" ht="15" hidden="false" customHeight="false" outlineLevel="0" collapsed="false">
      <c r="K3183" s="24" t="n">
        <f aca="false">IF(Search!$B$3="",0,IF($A3183="",N(K3182),IF(ISNUMBER(SEARCH(Search!$B$3,$A3183&amp;"")),N(K3182)+1,N(K3182))))</f>
        <v>0</v>
      </c>
    </row>
    <row r="3184" customFormat="false" ht="15" hidden="false" customHeight="false" outlineLevel="0" collapsed="false">
      <c r="K3184" s="24" t="n">
        <f aca="false">IF(Search!$B$3="",0,IF($A3184="",N(K3183),IF(ISNUMBER(SEARCH(Search!$B$3,$A3184&amp;"")),N(K3183)+1,N(K3183))))</f>
        <v>0</v>
      </c>
    </row>
    <row r="3185" customFormat="false" ht="15" hidden="false" customHeight="false" outlineLevel="0" collapsed="false">
      <c r="K3185" s="24" t="n">
        <f aca="false">IF(Search!$B$3="",0,IF($A3185="",N(K3184),IF(ISNUMBER(SEARCH(Search!$B$3,$A3185&amp;"")),N(K3184)+1,N(K3184))))</f>
        <v>0</v>
      </c>
    </row>
    <row r="3186" customFormat="false" ht="15" hidden="false" customHeight="false" outlineLevel="0" collapsed="false">
      <c r="K3186" s="24" t="n">
        <f aca="false">IF(Search!$B$3="",0,IF($A3186="",N(K3185),IF(ISNUMBER(SEARCH(Search!$B$3,$A3186&amp;"")),N(K3185)+1,N(K3185))))</f>
        <v>0</v>
      </c>
    </row>
    <row r="3187" customFormat="false" ht="15" hidden="false" customHeight="false" outlineLevel="0" collapsed="false">
      <c r="K3187" s="24" t="n">
        <f aca="false">IF(Search!$B$3="",0,IF($A3187="",N(K3186),IF(ISNUMBER(SEARCH(Search!$B$3,$A3187&amp;"")),N(K3186)+1,N(K3186))))</f>
        <v>0</v>
      </c>
    </row>
    <row r="3188" customFormat="false" ht="15" hidden="false" customHeight="false" outlineLevel="0" collapsed="false">
      <c r="K3188" s="24" t="n">
        <f aca="false">IF(Search!$B$3="",0,IF($A3188="",N(K3187),IF(ISNUMBER(SEARCH(Search!$B$3,$A3188&amp;"")),N(K3187)+1,N(K3187))))</f>
        <v>0</v>
      </c>
    </row>
    <row r="3189" customFormat="false" ht="15" hidden="false" customHeight="false" outlineLevel="0" collapsed="false">
      <c r="K3189" s="24" t="n">
        <f aca="false">IF(Search!$B$3="",0,IF($A3189="",N(K3188),IF(ISNUMBER(SEARCH(Search!$B$3,$A3189&amp;"")),N(K3188)+1,N(K3188))))</f>
        <v>0</v>
      </c>
    </row>
    <row r="3190" customFormat="false" ht="15" hidden="false" customHeight="false" outlineLevel="0" collapsed="false">
      <c r="K3190" s="24" t="n">
        <f aca="false">IF(Search!$B$3="",0,IF($A3190="",N(K3189),IF(ISNUMBER(SEARCH(Search!$B$3,$A3190&amp;"")),N(K3189)+1,N(K3189))))</f>
        <v>0</v>
      </c>
    </row>
    <row r="3191" customFormat="false" ht="15" hidden="false" customHeight="false" outlineLevel="0" collapsed="false">
      <c r="K3191" s="24" t="n">
        <f aca="false">IF(Search!$B$3="",0,IF($A3191="",N(K3190),IF(ISNUMBER(SEARCH(Search!$B$3,$A3191&amp;"")),N(K3190)+1,N(K3190))))</f>
        <v>0</v>
      </c>
    </row>
    <row r="3192" customFormat="false" ht="15" hidden="false" customHeight="false" outlineLevel="0" collapsed="false">
      <c r="K3192" s="24" t="n">
        <f aca="false">IF(Search!$B$3="",0,IF($A3192="",N(K3191),IF(ISNUMBER(SEARCH(Search!$B$3,$A3192&amp;"")),N(K3191)+1,N(K3191))))</f>
        <v>0</v>
      </c>
    </row>
    <row r="3193" customFormat="false" ht="15" hidden="false" customHeight="false" outlineLevel="0" collapsed="false">
      <c r="K3193" s="24" t="n">
        <f aca="false">IF(Search!$B$3="",0,IF($A3193="",N(K3192),IF(ISNUMBER(SEARCH(Search!$B$3,$A3193&amp;"")),N(K3192)+1,N(K3192))))</f>
        <v>0</v>
      </c>
    </row>
    <row r="3194" customFormat="false" ht="15" hidden="false" customHeight="false" outlineLevel="0" collapsed="false">
      <c r="K3194" s="24" t="n">
        <f aca="false">IF(Search!$B$3="",0,IF($A3194="",N(K3193),IF(ISNUMBER(SEARCH(Search!$B$3,$A3194&amp;"")),N(K3193)+1,N(K3193))))</f>
        <v>0</v>
      </c>
    </row>
    <row r="3195" customFormat="false" ht="15" hidden="false" customHeight="false" outlineLevel="0" collapsed="false">
      <c r="K3195" s="24" t="n">
        <f aca="false">IF(Search!$B$3="",0,IF($A3195="",N(K3194),IF(ISNUMBER(SEARCH(Search!$B$3,$A3195&amp;"")),N(K3194)+1,N(K3194))))</f>
        <v>0</v>
      </c>
    </row>
    <row r="3196" customFormat="false" ht="15" hidden="false" customHeight="false" outlineLevel="0" collapsed="false">
      <c r="K3196" s="24" t="n">
        <f aca="false">IF(Search!$B$3="",0,IF($A3196="",N(K3195),IF(ISNUMBER(SEARCH(Search!$B$3,$A3196&amp;"")),N(K3195)+1,N(K3195))))</f>
        <v>0</v>
      </c>
    </row>
    <row r="3197" customFormat="false" ht="15" hidden="false" customHeight="false" outlineLevel="0" collapsed="false">
      <c r="K3197" s="24" t="n">
        <f aca="false">IF(Search!$B$3="",0,IF($A3197="",N(K3196),IF(ISNUMBER(SEARCH(Search!$B$3,$A3197&amp;"")),N(K3196)+1,N(K3196))))</f>
        <v>0</v>
      </c>
    </row>
    <row r="3198" customFormat="false" ht="15" hidden="false" customHeight="false" outlineLevel="0" collapsed="false">
      <c r="K3198" s="24" t="n">
        <f aca="false">IF(Search!$B$3="",0,IF($A3198="",N(K3197),IF(ISNUMBER(SEARCH(Search!$B$3,$A3198&amp;"")),N(K3197)+1,N(K3197))))</f>
        <v>0</v>
      </c>
    </row>
    <row r="3199" customFormat="false" ht="15" hidden="false" customHeight="false" outlineLevel="0" collapsed="false">
      <c r="K3199" s="24" t="n">
        <f aca="false">IF(Search!$B$3="",0,IF($A3199="",N(K3198),IF(ISNUMBER(SEARCH(Search!$B$3,$A3199&amp;"")),N(K3198)+1,N(K3198))))</f>
        <v>0</v>
      </c>
    </row>
    <row r="3200" customFormat="false" ht="15" hidden="false" customHeight="false" outlineLevel="0" collapsed="false">
      <c r="K3200" s="24" t="n">
        <f aca="false">IF(Search!$B$3="",0,IF($A3200="",N(K3199),IF(ISNUMBER(SEARCH(Search!$B$3,$A3200&amp;"")),N(K3199)+1,N(K3199))))</f>
        <v>0</v>
      </c>
    </row>
    <row r="3201" customFormat="false" ht="15" hidden="false" customHeight="false" outlineLevel="0" collapsed="false">
      <c r="K3201" s="24" t="n">
        <f aca="false">IF(Search!$B$3="",0,IF($A3201="",N(K3200),IF(ISNUMBER(SEARCH(Search!$B$3,$A3201&amp;"")),N(K3200)+1,N(K3200))))</f>
        <v>0</v>
      </c>
    </row>
    <row r="3202" customFormat="false" ht="15" hidden="false" customHeight="false" outlineLevel="0" collapsed="false">
      <c r="K3202" s="24" t="n">
        <f aca="false">IF(Search!$B$3="",0,IF($A3202="",N(K3201),IF(ISNUMBER(SEARCH(Search!$B$3,$A3202&amp;"")),N(K3201)+1,N(K3201))))</f>
        <v>0</v>
      </c>
    </row>
    <row r="3203" customFormat="false" ht="15" hidden="false" customHeight="false" outlineLevel="0" collapsed="false">
      <c r="K3203" s="24" t="n">
        <f aca="false">IF(Search!$B$3="",0,IF($A3203="",N(K3202),IF(ISNUMBER(SEARCH(Search!$B$3,$A3203&amp;"")),N(K3202)+1,N(K3202))))</f>
        <v>0</v>
      </c>
    </row>
    <row r="3204" customFormat="false" ht="15" hidden="false" customHeight="false" outlineLevel="0" collapsed="false">
      <c r="K3204" s="24" t="n">
        <f aca="false">IF(Search!$B$3="",0,IF($A3204="",N(K3203),IF(ISNUMBER(SEARCH(Search!$B$3,$A3204&amp;"")),N(K3203)+1,N(K3203))))</f>
        <v>0</v>
      </c>
    </row>
    <row r="3205" customFormat="false" ht="15" hidden="false" customHeight="false" outlineLevel="0" collapsed="false">
      <c r="K3205" s="24" t="n">
        <f aca="false">IF(Search!$B$3="",0,IF($A3205="",N(K3204),IF(ISNUMBER(SEARCH(Search!$B$3,$A3205&amp;"")),N(K3204)+1,N(K3204))))</f>
        <v>0</v>
      </c>
    </row>
    <row r="3206" customFormat="false" ht="15" hidden="false" customHeight="false" outlineLevel="0" collapsed="false">
      <c r="K3206" s="24" t="n">
        <f aca="false">IF(Search!$B$3="",0,IF($A3206="",N(K3205),IF(ISNUMBER(SEARCH(Search!$B$3,$A3206&amp;"")),N(K3205)+1,N(K3205))))</f>
        <v>0</v>
      </c>
    </row>
    <row r="3207" customFormat="false" ht="15" hidden="false" customHeight="false" outlineLevel="0" collapsed="false">
      <c r="K3207" s="24" t="n">
        <f aca="false">IF(Search!$B$3="",0,IF($A3207="",N(K3206),IF(ISNUMBER(SEARCH(Search!$B$3,$A3207&amp;"")),N(K3206)+1,N(K3206))))</f>
        <v>0</v>
      </c>
    </row>
    <row r="3208" customFormat="false" ht="15" hidden="false" customHeight="false" outlineLevel="0" collapsed="false">
      <c r="K3208" s="24" t="n">
        <f aca="false">IF(Search!$B$3="",0,IF($A3208="",N(K3207),IF(ISNUMBER(SEARCH(Search!$B$3,$A3208&amp;"")),N(K3207)+1,N(K3207))))</f>
        <v>0</v>
      </c>
    </row>
    <row r="3209" customFormat="false" ht="15" hidden="false" customHeight="false" outlineLevel="0" collapsed="false">
      <c r="K3209" s="24" t="n">
        <f aca="false">IF(Search!$B$3="",0,IF($A3209="",N(K3208),IF(ISNUMBER(SEARCH(Search!$B$3,$A3209&amp;"")),N(K3208)+1,N(K3208))))</f>
        <v>0</v>
      </c>
    </row>
    <row r="3210" customFormat="false" ht="15" hidden="false" customHeight="false" outlineLevel="0" collapsed="false">
      <c r="K3210" s="24" t="n">
        <f aca="false">IF(Search!$B$3="",0,IF($A3210="",N(K3209),IF(ISNUMBER(SEARCH(Search!$B$3,$A3210&amp;"")),N(K3209)+1,N(K3209))))</f>
        <v>0</v>
      </c>
    </row>
    <row r="3211" customFormat="false" ht="15" hidden="false" customHeight="false" outlineLevel="0" collapsed="false">
      <c r="K3211" s="24" t="n">
        <f aca="false">IF(Search!$B$3="",0,IF($A3211="",N(K3210),IF(ISNUMBER(SEARCH(Search!$B$3,$A3211&amp;"")),N(K3210)+1,N(K3210))))</f>
        <v>0</v>
      </c>
    </row>
    <row r="3212" customFormat="false" ht="15" hidden="false" customHeight="false" outlineLevel="0" collapsed="false">
      <c r="K3212" s="24" t="n">
        <f aca="false">IF(Search!$B$3="",0,IF($A3212="",N(K3211),IF(ISNUMBER(SEARCH(Search!$B$3,$A3212&amp;"")),N(K3211)+1,N(K3211))))</f>
        <v>0</v>
      </c>
    </row>
    <row r="3213" customFormat="false" ht="15" hidden="false" customHeight="false" outlineLevel="0" collapsed="false">
      <c r="K3213" s="24" t="n">
        <f aca="false">IF(Search!$B$3="",0,IF($A3213="",N(K3212),IF(ISNUMBER(SEARCH(Search!$B$3,$A3213&amp;"")),N(K3212)+1,N(K3212))))</f>
        <v>0</v>
      </c>
    </row>
    <row r="3214" customFormat="false" ht="15" hidden="false" customHeight="false" outlineLevel="0" collapsed="false">
      <c r="K3214" s="24" t="n">
        <f aca="false">IF(Search!$B$3="",0,IF($A3214="",N(K3213),IF(ISNUMBER(SEARCH(Search!$B$3,$A3214&amp;"")),N(K3213)+1,N(K3213))))</f>
        <v>0</v>
      </c>
    </row>
    <row r="3215" customFormat="false" ht="15" hidden="false" customHeight="false" outlineLevel="0" collapsed="false">
      <c r="K3215" s="24" t="n">
        <f aca="false">IF(Search!$B$3="",0,IF($A3215="",N(K3214),IF(ISNUMBER(SEARCH(Search!$B$3,$A3215&amp;"")),N(K3214)+1,N(K3214))))</f>
        <v>0</v>
      </c>
    </row>
    <row r="3216" customFormat="false" ht="15" hidden="false" customHeight="false" outlineLevel="0" collapsed="false">
      <c r="K3216" s="24" t="n">
        <f aca="false">IF(Search!$B$3="",0,IF($A3216="",N(K3215),IF(ISNUMBER(SEARCH(Search!$B$3,$A3216&amp;"")),N(K3215)+1,N(K3215))))</f>
        <v>0</v>
      </c>
    </row>
    <row r="3217" customFormat="false" ht="15" hidden="false" customHeight="false" outlineLevel="0" collapsed="false">
      <c r="K3217" s="24" t="n">
        <f aca="false">IF(Search!$B$3="",0,IF($A3217="",N(K3216),IF(ISNUMBER(SEARCH(Search!$B$3,$A3217&amp;"")),N(K3216)+1,N(K3216))))</f>
        <v>0</v>
      </c>
    </row>
    <row r="3218" customFormat="false" ht="15" hidden="false" customHeight="false" outlineLevel="0" collapsed="false">
      <c r="K3218" s="24" t="n">
        <f aca="false">IF(Search!$B$3="",0,IF($A3218="",N(K3217),IF(ISNUMBER(SEARCH(Search!$B$3,$A3218&amp;"")),N(K3217)+1,N(K3217))))</f>
        <v>0</v>
      </c>
    </row>
    <row r="3219" customFormat="false" ht="15" hidden="false" customHeight="false" outlineLevel="0" collapsed="false">
      <c r="K3219" s="24" t="n">
        <f aca="false">IF(Search!$B$3="",0,IF($A3219="",N(K3218),IF(ISNUMBER(SEARCH(Search!$B$3,$A3219&amp;"")),N(K3218)+1,N(K3218))))</f>
        <v>0</v>
      </c>
    </row>
    <row r="3220" customFormat="false" ht="15" hidden="false" customHeight="false" outlineLevel="0" collapsed="false">
      <c r="K3220" s="24" t="n">
        <f aca="false">IF(Search!$B$3="",0,IF($A3220="",N(K3219),IF(ISNUMBER(SEARCH(Search!$B$3,$A3220&amp;"")),N(K3219)+1,N(K3219))))</f>
        <v>0</v>
      </c>
    </row>
    <row r="3221" customFormat="false" ht="15" hidden="false" customHeight="false" outlineLevel="0" collapsed="false">
      <c r="K3221" s="24" t="n">
        <f aca="false">IF(Search!$B$3="",0,IF($A3221="",N(K3220),IF(ISNUMBER(SEARCH(Search!$B$3,$A3221&amp;"")),N(K3220)+1,N(K3220))))</f>
        <v>0</v>
      </c>
    </row>
    <row r="3222" customFormat="false" ht="15" hidden="false" customHeight="false" outlineLevel="0" collapsed="false">
      <c r="K3222" s="24" t="n">
        <f aca="false">IF(Search!$B$3="",0,IF($A3222="",N(K3221),IF(ISNUMBER(SEARCH(Search!$B$3,$A3222&amp;"")),N(K3221)+1,N(K3221))))</f>
        <v>0</v>
      </c>
    </row>
    <row r="3223" customFormat="false" ht="15" hidden="false" customHeight="false" outlineLevel="0" collapsed="false">
      <c r="K3223" s="24" t="n">
        <f aca="false">IF(Search!$B$3="",0,IF($A3223="",N(K3222),IF(ISNUMBER(SEARCH(Search!$B$3,$A3223&amp;"")),N(K3222)+1,N(K3222))))</f>
        <v>0</v>
      </c>
    </row>
    <row r="3224" customFormat="false" ht="15" hidden="false" customHeight="false" outlineLevel="0" collapsed="false">
      <c r="K3224" s="24" t="n">
        <f aca="false">IF(Search!$B$3="",0,IF($A3224="",N(K3223),IF(ISNUMBER(SEARCH(Search!$B$3,$A3224&amp;"")),N(K3223)+1,N(K3223))))</f>
        <v>0</v>
      </c>
    </row>
    <row r="3225" customFormat="false" ht="15" hidden="false" customHeight="false" outlineLevel="0" collapsed="false">
      <c r="K3225" s="24" t="n">
        <f aca="false">IF(Search!$B$3="",0,IF($A3225="",N(K3224),IF(ISNUMBER(SEARCH(Search!$B$3,$A3225&amp;"")),N(K3224)+1,N(K3224))))</f>
        <v>0</v>
      </c>
    </row>
    <row r="3226" customFormat="false" ht="15" hidden="false" customHeight="false" outlineLevel="0" collapsed="false">
      <c r="K3226" s="24" t="n">
        <f aca="false">IF(Search!$B$3="",0,IF($A3226="",N(K3225),IF(ISNUMBER(SEARCH(Search!$B$3,$A3226&amp;"")),N(K3225)+1,N(K3225))))</f>
        <v>0</v>
      </c>
    </row>
    <row r="3227" customFormat="false" ht="15" hidden="false" customHeight="false" outlineLevel="0" collapsed="false">
      <c r="K3227" s="24" t="n">
        <f aca="false">IF(Search!$B$3="",0,IF($A3227="",N(K3226),IF(ISNUMBER(SEARCH(Search!$B$3,$A3227&amp;"")),N(K3226)+1,N(K3226))))</f>
        <v>0</v>
      </c>
    </row>
    <row r="3228" customFormat="false" ht="15" hidden="false" customHeight="false" outlineLevel="0" collapsed="false">
      <c r="K3228" s="24" t="n">
        <f aca="false">IF(Search!$B$3="",0,IF($A3228="",N(K3227),IF(ISNUMBER(SEARCH(Search!$B$3,$A3228&amp;"")),N(K3227)+1,N(K3227))))</f>
        <v>0</v>
      </c>
    </row>
    <row r="3229" customFormat="false" ht="15" hidden="false" customHeight="false" outlineLevel="0" collapsed="false">
      <c r="K3229" s="24" t="n">
        <f aca="false">IF(Search!$B$3="",0,IF($A3229="",N(K3228),IF(ISNUMBER(SEARCH(Search!$B$3,$A3229&amp;"")),N(K3228)+1,N(K3228))))</f>
        <v>0</v>
      </c>
    </row>
    <row r="3230" customFormat="false" ht="15" hidden="false" customHeight="false" outlineLevel="0" collapsed="false">
      <c r="K3230" s="24" t="n">
        <f aca="false">IF(Search!$B$3="",0,IF($A3230="",N(K3229),IF(ISNUMBER(SEARCH(Search!$B$3,$A3230&amp;"")),N(K3229)+1,N(K3229))))</f>
        <v>0</v>
      </c>
    </row>
    <row r="3231" customFormat="false" ht="15" hidden="false" customHeight="false" outlineLevel="0" collapsed="false">
      <c r="K3231" s="24" t="n">
        <f aca="false">IF(Search!$B$3="",0,IF($A3231="",N(K3230),IF(ISNUMBER(SEARCH(Search!$B$3,$A3231&amp;"")),N(K3230)+1,N(K3230))))</f>
        <v>0</v>
      </c>
    </row>
    <row r="3232" customFormat="false" ht="15" hidden="false" customHeight="false" outlineLevel="0" collapsed="false">
      <c r="K3232" s="24" t="n">
        <f aca="false">IF(Search!$B$3="",0,IF($A3232="",N(K3231),IF(ISNUMBER(SEARCH(Search!$B$3,$A3232&amp;"")),N(K3231)+1,N(K3231))))</f>
        <v>0</v>
      </c>
    </row>
    <row r="3233" customFormat="false" ht="15" hidden="false" customHeight="false" outlineLevel="0" collapsed="false">
      <c r="K3233" s="24" t="n">
        <f aca="false">IF(Search!$B$3="",0,IF($A3233="",N(K3232),IF(ISNUMBER(SEARCH(Search!$B$3,$A3233&amp;"")),N(K3232)+1,N(K3232))))</f>
        <v>0</v>
      </c>
    </row>
    <row r="3234" customFormat="false" ht="15" hidden="false" customHeight="false" outlineLevel="0" collapsed="false">
      <c r="K3234" s="24" t="n">
        <f aca="false">IF(Search!$B$3="",0,IF($A3234="",N(K3233),IF(ISNUMBER(SEARCH(Search!$B$3,$A3234&amp;"")),N(K3233)+1,N(K3233))))</f>
        <v>0</v>
      </c>
    </row>
    <row r="3235" customFormat="false" ht="15" hidden="false" customHeight="false" outlineLevel="0" collapsed="false">
      <c r="K3235" s="24" t="n">
        <f aca="false">IF(Search!$B$3="",0,IF($A3235="",N(K3234),IF(ISNUMBER(SEARCH(Search!$B$3,$A3235&amp;"")),N(K3234)+1,N(K3234))))</f>
        <v>0</v>
      </c>
    </row>
    <row r="3236" customFormat="false" ht="15" hidden="false" customHeight="false" outlineLevel="0" collapsed="false">
      <c r="K3236" s="24" t="n">
        <f aca="false">IF(Search!$B$3="",0,IF($A3236="",N(K3235),IF(ISNUMBER(SEARCH(Search!$B$3,$A3236&amp;"")),N(K3235)+1,N(K3235))))</f>
        <v>0</v>
      </c>
    </row>
    <row r="3237" customFormat="false" ht="15" hidden="false" customHeight="false" outlineLevel="0" collapsed="false">
      <c r="K3237" s="24" t="n">
        <f aca="false">IF(Search!$B$3="",0,IF($A3237="",N(K3236),IF(ISNUMBER(SEARCH(Search!$B$3,$A3237&amp;"")),N(K3236)+1,N(K3236))))</f>
        <v>0</v>
      </c>
    </row>
    <row r="3238" customFormat="false" ht="15" hidden="false" customHeight="false" outlineLevel="0" collapsed="false">
      <c r="K3238" s="24" t="n">
        <f aca="false">IF(Search!$B$3="",0,IF($A3238="",N(K3237),IF(ISNUMBER(SEARCH(Search!$B$3,$A3238&amp;"")),N(K3237)+1,N(K3237))))</f>
        <v>0</v>
      </c>
    </row>
    <row r="3239" customFormat="false" ht="15" hidden="false" customHeight="false" outlineLevel="0" collapsed="false">
      <c r="K3239" s="24" t="n">
        <f aca="false">IF(Search!$B$3="",0,IF($A3239="",N(K3238),IF(ISNUMBER(SEARCH(Search!$B$3,$A3239&amp;"")),N(K3238)+1,N(K3238))))</f>
        <v>0</v>
      </c>
    </row>
    <row r="3240" customFormat="false" ht="15" hidden="false" customHeight="false" outlineLevel="0" collapsed="false">
      <c r="K3240" s="24" t="n">
        <f aca="false">IF(Search!$B$3="",0,IF($A3240="",N(K3239),IF(ISNUMBER(SEARCH(Search!$B$3,$A3240&amp;"")),N(K3239)+1,N(K3239))))</f>
        <v>0</v>
      </c>
    </row>
    <row r="3241" customFormat="false" ht="15" hidden="false" customHeight="false" outlineLevel="0" collapsed="false">
      <c r="K3241" s="24" t="n">
        <f aca="false">IF(Search!$B$3="",0,IF($A3241="",N(K3240),IF(ISNUMBER(SEARCH(Search!$B$3,$A3241&amp;"")),N(K3240)+1,N(K3240))))</f>
        <v>0</v>
      </c>
    </row>
    <row r="3242" customFormat="false" ht="15" hidden="false" customHeight="false" outlineLevel="0" collapsed="false">
      <c r="K3242" s="24" t="n">
        <f aca="false">IF(Search!$B$3="",0,IF($A3242="",N(K3241),IF(ISNUMBER(SEARCH(Search!$B$3,$A3242&amp;"")),N(K3241)+1,N(K3241))))</f>
        <v>0</v>
      </c>
    </row>
    <row r="3243" customFormat="false" ht="15" hidden="false" customHeight="false" outlineLevel="0" collapsed="false">
      <c r="K3243" s="24" t="n">
        <f aca="false">IF(Search!$B$3="",0,IF($A3243="",N(K3242),IF(ISNUMBER(SEARCH(Search!$B$3,$A3243&amp;"")),N(K3242)+1,N(K3242))))</f>
        <v>0</v>
      </c>
    </row>
    <row r="3244" customFormat="false" ht="15" hidden="false" customHeight="false" outlineLevel="0" collapsed="false">
      <c r="K3244" s="24" t="n">
        <f aca="false">IF(Search!$B$3="",0,IF($A3244="",N(K3243),IF(ISNUMBER(SEARCH(Search!$B$3,$A3244&amp;"")),N(K3243)+1,N(K3243))))</f>
        <v>0</v>
      </c>
    </row>
    <row r="3245" customFormat="false" ht="15" hidden="false" customHeight="false" outlineLevel="0" collapsed="false">
      <c r="K3245" s="24" t="n">
        <f aca="false">IF(Search!$B$3="",0,IF($A3245="",N(K3244),IF(ISNUMBER(SEARCH(Search!$B$3,$A3245&amp;"")),N(K3244)+1,N(K3244))))</f>
        <v>0</v>
      </c>
    </row>
    <row r="3246" customFormat="false" ht="15" hidden="false" customHeight="false" outlineLevel="0" collapsed="false">
      <c r="K3246" s="24" t="n">
        <f aca="false">IF(Search!$B$3="",0,IF($A3246="",N(K3245),IF(ISNUMBER(SEARCH(Search!$B$3,$A3246&amp;"")),N(K3245)+1,N(K3245))))</f>
        <v>0</v>
      </c>
    </row>
    <row r="3247" customFormat="false" ht="15" hidden="false" customHeight="false" outlineLevel="0" collapsed="false">
      <c r="K3247" s="24" t="n">
        <f aca="false">IF(Search!$B$3="",0,IF($A3247="",N(K3246),IF(ISNUMBER(SEARCH(Search!$B$3,$A3247&amp;"")),N(K3246)+1,N(K3246))))</f>
        <v>0</v>
      </c>
    </row>
    <row r="3248" customFormat="false" ht="15" hidden="false" customHeight="false" outlineLevel="0" collapsed="false">
      <c r="K3248" s="24" t="n">
        <f aca="false">IF(Search!$B$3="",0,IF($A3248="",N(K3247),IF(ISNUMBER(SEARCH(Search!$B$3,$A3248&amp;"")),N(K3247)+1,N(K3247))))</f>
        <v>0</v>
      </c>
    </row>
    <row r="3249" customFormat="false" ht="15" hidden="false" customHeight="false" outlineLevel="0" collapsed="false">
      <c r="K3249" s="24" t="n">
        <f aca="false">IF(Search!$B$3="",0,IF($A3249="",N(K3248),IF(ISNUMBER(SEARCH(Search!$B$3,$A3249&amp;"")),N(K3248)+1,N(K3248))))</f>
        <v>0</v>
      </c>
    </row>
    <row r="3250" customFormat="false" ht="15" hidden="false" customHeight="false" outlineLevel="0" collapsed="false">
      <c r="K3250" s="24" t="n">
        <f aca="false">IF(Search!$B$3="",0,IF($A3250="",N(K3249),IF(ISNUMBER(SEARCH(Search!$B$3,$A3250&amp;"")),N(K3249)+1,N(K3249))))</f>
        <v>0</v>
      </c>
    </row>
    <row r="3251" customFormat="false" ht="15" hidden="false" customHeight="false" outlineLevel="0" collapsed="false">
      <c r="K3251" s="24" t="n">
        <f aca="false">IF(Search!$B$3="",0,IF($A3251="",N(K3250),IF(ISNUMBER(SEARCH(Search!$B$3,$A3251&amp;"")),N(K3250)+1,N(K3250))))</f>
        <v>0</v>
      </c>
    </row>
    <row r="3252" customFormat="false" ht="15" hidden="false" customHeight="false" outlineLevel="0" collapsed="false">
      <c r="K3252" s="24" t="n">
        <f aca="false">IF(Search!$B$3="",0,IF($A3252="",N(K3251),IF(ISNUMBER(SEARCH(Search!$B$3,$A3252&amp;"")),N(K3251)+1,N(K3251))))</f>
        <v>0</v>
      </c>
    </row>
    <row r="3253" customFormat="false" ht="15" hidden="false" customHeight="false" outlineLevel="0" collapsed="false">
      <c r="K3253" s="24" t="n">
        <f aca="false">IF(Search!$B$3="",0,IF($A3253="",N(K3252),IF(ISNUMBER(SEARCH(Search!$B$3,$A3253&amp;"")),N(K3252)+1,N(K3252))))</f>
        <v>0</v>
      </c>
    </row>
    <row r="3254" customFormat="false" ht="15" hidden="false" customHeight="false" outlineLevel="0" collapsed="false">
      <c r="K3254" s="24" t="n">
        <f aca="false">IF(Search!$B$3="",0,IF($A3254="",N(K3253),IF(ISNUMBER(SEARCH(Search!$B$3,$A3254&amp;"")),N(K3253)+1,N(K3253))))</f>
        <v>0</v>
      </c>
    </row>
    <row r="3255" customFormat="false" ht="15" hidden="false" customHeight="false" outlineLevel="0" collapsed="false">
      <c r="K3255" s="24" t="n">
        <f aca="false">IF(Search!$B$3="",0,IF($A3255="",N(K3254),IF(ISNUMBER(SEARCH(Search!$B$3,$A3255&amp;"")),N(K3254)+1,N(K3254))))</f>
        <v>0</v>
      </c>
    </row>
    <row r="3256" customFormat="false" ht="15" hidden="false" customHeight="false" outlineLevel="0" collapsed="false">
      <c r="K3256" s="24" t="n">
        <f aca="false">IF(Search!$B$3="",0,IF($A3256="",N(K3255),IF(ISNUMBER(SEARCH(Search!$B$3,$A3256&amp;"")),N(K3255)+1,N(K3255))))</f>
        <v>0</v>
      </c>
    </row>
    <row r="3257" customFormat="false" ht="15" hidden="false" customHeight="false" outlineLevel="0" collapsed="false">
      <c r="K3257" s="24" t="n">
        <f aca="false">IF(Search!$B$3="",0,IF($A3257="",N(K3256),IF(ISNUMBER(SEARCH(Search!$B$3,$A3257&amp;"")),N(K3256)+1,N(K3256))))</f>
        <v>0</v>
      </c>
    </row>
    <row r="3258" customFormat="false" ht="15" hidden="false" customHeight="false" outlineLevel="0" collapsed="false">
      <c r="K3258" s="24" t="n">
        <f aca="false">IF(Search!$B$3="",0,IF($A3258="",N(K3257),IF(ISNUMBER(SEARCH(Search!$B$3,$A3258&amp;"")),N(K3257)+1,N(K3257))))</f>
        <v>0</v>
      </c>
    </row>
    <row r="3259" customFormat="false" ht="15" hidden="false" customHeight="false" outlineLevel="0" collapsed="false">
      <c r="K3259" s="24" t="n">
        <f aca="false">IF(Search!$B$3="",0,IF($A3259="",N(K3258),IF(ISNUMBER(SEARCH(Search!$B$3,$A3259&amp;"")),N(K3258)+1,N(K3258))))</f>
        <v>0</v>
      </c>
    </row>
    <row r="3260" customFormat="false" ht="15" hidden="false" customHeight="false" outlineLevel="0" collapsed="false">
      <c r="K3260" s="24" t="n">
        <f aca="false">IF(Search!$B$3="",0,IF($A3260="",N(K3259),IF(ISNUMBER(SEARCH(Search!$B$3,$A3260&amp;"")),N(K3259)+1,N(K3259))))</f>
        <v>0</v>
      </c>
    </row>
    <row r="3261" customFormat="false" ht="15" hidden="false" customHeight="false" outlineLevel="0" collapsed="false">
      <c r="K3261" s="24" t="n">
        <f aca="false">IF(Search!$B$3="",0,IF($A3261="",N(K3260),IF(ISNUMBER(SEARCH(Search!$B$3,$A3261&amp;"")),N(K3260)+1,N(K3260))))</f>
        <v>0</v>
      </c>
    </row>
    <row r="3262" customFormat="false" ht="15" hidden="false" customHeight="false" outlineLevel="0" collapsed="false">
      <c r="K3262" s="24" t="n">
        <f aca="false">IF(Search!$B$3="",0,IF($A3262="",N(K3261),IF(ISNUMBER(SEARCH(Search!$B$3,$A3262&amp;"")),N(K3261)+1,N(K3261))))</f>
        <v>0</v>
      </c>
    </row>
    <row r="3263" customFormat="false" ht="15" hidden="false" customHeight="false" outlineLevel="0" collapsed="false">
      <c r="K3263" s="24" t="n">
        <f aca="false">IF(Search!$B$3="",0,IF($A3263="",N(K3262),IF(ISNUMBER(SEARCH(Search!$B$3,$A3263&amp;"")),N(K3262)+1,N(K3262))))</f>
        <v>0</v>
      </c>
    </row>
    <row r="3264" customFormat="false" ht="15" hidden="false" customHeight="false" outlineLevel="0" collapsed="false">
      <c r="K3264" s="24" t="n">
        <f aca="false">IF(Search!$B$3="",0,IF($A3264="",N(K3263),IF(ISNUMBER(SEARCH(Search!$B$3,$A3264&amp;"")),N(K3263)+1,N(K3263))))</f>
        <v>0</v>
      </c>
    </row>
    <row r="3265" customFormat="false" ht="15" hidden="false" customHeight="false" outlineLevel="0" collapsed="false">
      <c r="K3265" s="24" t="n">
        <f aca="false">IF(Search!$B$3="",0,IF($A3265="",N(K3264),IF(ISNUMBER(SEARCH(Search!$B$3,$A3265&amp;"")),N(K3264)+1,N(K3264))))</f>
        <v>0</v>
      </c>
    </row>
    <row r="3266" customFormat="false" ht="15" hidden="false" customHeight="false" outlineLevel="0" collapsed="false">
      <c r="K3266" s="24" t="n">
        <f aca="false">IF(Search!$B$3="",0,IF($A3266="",N(K3265),IF(ISNUMBER(SEARCH(Search!$B$3,$A3266&amp;"")),N(K3265)+1,N(K3265))))</f>
        <v>0</v>
      </c>
    </row>
    <row r="3267" customFormat="false" ht="15" hidden="false" customHeight="false" outlineLevel="0" collapsed="false">
      <c r="K3267" s="24" t="n">
        <f aca="false">IF(Search!$B$3="",0,IF($A3267="",N(K3266),IF(ISNUMBER(SEARCH(Search!$B$3,$A3267&amp;"")),N(K3266)+1,N(K3266))))</f>
        <v>0</v>
      </c>
    </row>
    <row r="3268" customFormat="false" ht="15" hidden="false" customHeight="false" outlineLevel="0" collapsed="false">
      <c r="K3268" s="24" t="n">
        <f aca="false">IF(Search!$B$3="",0,IF($A3268="",N(K3267),IF(ISNUMBER(SEARCH(Search!$B$3,$A3268&amp;"")),N(K3267)+1,N(K3267))))</f>
        <v>0</v>
      </c>
    </row>
    <row r="3269" customFormat="false" ht="15" hidden="false" customHeight="false" outlineLevel="0" collapsed="false">
      <c r="K3269" s="24" t="n">
        <f aca="false">IF(Search!$B$3="",0,IF($A3269="",N(K3268),IF(ISNUMBER(SEARCH(Search!$B$3,$A3269&amp;"")),N(K3268)+1,N(K3268))))</f>
        <v>0</v>
      </c>
    </row>
    <row r="3270" customFormat="false" ht="15" hidden="false" customHeight="false" outlineLevel="0" collapsed="false">
      <c r="K3270" s="24" t="n">
        <f aca="false">IF(Search!$B$3="",0,IF($A3270="",N(K3269),IF(ISNUMBER(SEARCH(Search!$B$3,$A3270&amp;"")),N(K3269)+1,N(K3269))))</f>
        <v>0</v>
      </c>
    </row>
    <row r="3271" customFormat="false" ht="15" hidden="false" customHeight="false" outlineLevel="0" collapsed="false">
      <c r="K3271" s="24" t="n">
        <f aca="false">IF(Search!$B$3="",0,IF($A3271="",N(K3270),IF(ISNUMBER(SEARCH(Search!$B$3,$A3271&amp;"")),N(K3270)+1,N(K3270))))</f>
        <v>0</v>
      </c>
    </row>
    <row r="3272" customFormat="false" ht="15" hidden="false" customHeight="false" outlineLevel="0" collapsed="false">
      <c r="K3272" s="24" t="n">
        <f aca="false">IF(Search!$B$3="",0,IF($A3272="",N(K3271),IF(ISNUMBER(SEARCH(Search!$B$3,$A3272&amp;"")),N(K3271)+1,N(K3271))))</f>
        <v>0</v>
      </c>
    </row>
    <row r="3273" customFormat="false" ht="15" hidden="false" customHeight="false" outlineLevel="0" collapsed="false">
      <c r="K3273" s="24" t="n">
        <f aca="false">IF(Search!$B$3="",0,IF($A3273="",N(K3272),IF(ISNUMBER(SEARCH(Search!$B$3,$A3273&amp;"")),N(K3272)+1,N(K3272))))</f>
        <v>0</v>
      </c>
    </row>
    <row r="3274" customFormat="false" ht="15" hidden="false" customHeight="false" outlineLevel="0" collapsed="false">
      <c r="K3274" s="24" t="n">
        <f aca="false">IF(Search!$B$3="",0,IF($A3274="",N(K3273),IF(ISNUMBER(SEARCH(Search!$B$3,$A3274&amp;"")),N(K3273)+1,N(K3273))))</f>
        <v>0</v>
      </c>
    </row>
    <row r="3275" customFormat="false" ht="15" hidden="false" customHeight="false" outlineLevel="0" collapsed="false">
      <c r="K3275" s="24" t="n">
        <f aca="false">IF(Search!$B$3="",0,IF($A3275="",N(K3274),IF(ISNUMBER(SEARCH(Search!$B$3,$A3275&amp;"")),N(K3274)+1,N(K3274))))</f>
        <v>0</v>
      </c>
    </row>
    <row r="3276" customFormat="false" ht="15" hidden="false" customHeight="false" outlineLevel="0" collapsed="false">
      <c r="K3276" s="24" t="n">
        <f aca="false">IF(Search!$B$3="",0,IF($A3276="",N(K3275),IF(ISNUMBER(SEARCH(Search!$B$3,$A3276&amp;"")),N(K3275)+1,N(K3275))))</f>
        <v>0</v>
      </c>
    </row>
    <row r="3277" customFormat="false" ht="15" hidden="false" customHeight="false" outlineLevel="0" collapsed="false">
      <c r="K3277" s="24" t="n">
        <f aca="false">IF(Search!$B$3="",0,IF($A3277="",N(K3276),IF(ISNUMBER(SEARCH(Search!$B$3,$A3277&amp;"")),N(K3276)+1,N(K3276))))</f>
        <v>0</v>
      </c>
    </row>
    <row r="3278" customFormat="false" ht="15" hidden="false" customHeight="false" outlineLevel="0" collapsed="false">
      <c r="K3278" s="24" t="n">
        <f aca="false">IF(Search!$B$3="",0,IF($A3278="",N(K3277),IF(ISNUMBER(SEARCH(Search!$B$3,$A3278&amp;"")),N(K3277)+1,N(K3277))))</f>
        <v>0</v>
      </c>
    </row>
    <row r="3279" customFormat="false" ht="15" hidden="false" customHeight="false" outlineLevel="0" collapsed="false">
      <c r="K3279" s="24" t="n">
        <f aca="false">IF(Search!$B$3="",0,IF($A3279="",N(K3278),IF(ISNUMBER(SEARCH(Search!$B$3,$A3279&amp;"")),N(K3278)+1,N(K3278))))</f>
        <v>0</v>
      </c>
    </row>
    <row r="3280" customFormat="false" ht="15" hidden="false" customHeight="false" outlineLevel="0" collapsed="false">
      <c r="K3280" s="24" t="n">
        <f aca="false">IF(Search!$B$3="",0,IF($A3280="",N(K3279),IF(ISNUMBER(SEARCH(Search!$B$3,$A3280&amp;"")),N(K3279)+1,N(K3279))))</f>
        <v>0</v>
      </c>
    </row>
    <row r="3281" customFormat="false" ht="15" hidden="false" customHeight="false" outlineLevel="0" collapsed="false">
      <c r="K3281" s="24" t="n">
        <f aca="false">IF(Search!$B$3="",0,IF($A3281="",N(K3280),IF(ISNUMBER(SEARCH(Search!$B$3,$A3281&amp;"")),N(K3280)+1,N(K3280))))</f>
        <v>0</v>
      </c>
    </row>
    <row r="3282" customFormat="false" ht="15" hidden="false" customHeight="false" outlineLevel="0" collapsed="false">
      <c r="K3282" s="24" t="n">
        <f aca="false">IF(Search!$B$3="",0,IF($A3282="",N(K3281),IF(ISNUMBER(SEARCH(Search!$B$3,$A3282&amp;"")),N(K3281)+1,N(K3281))))</f>
        <v>0</v>
      </c>
    </row>
    <row r="3283" customFormat="false" ht="15" hidden="false" customHeight="false" outlineLevel="0" collapsed="false">
      <c r="K3283" s="24" t="n">
        <f aca="false">IF(Search!$B$3="",0,IF($A3283="",N(K3282),IF(ISNUMBER(SEARCH(Search!$B$3,$A3283&amp;"")),N(K3282)+1,N(K3282))))</f>
        <v>0</v>
      </c>
    </row>
    <row r="3284" customFormat="false" ht="15" hidden="false" customHeight="false" outlineLevel="0" collapsed="false">
      <c r="K3284" s="24" t="n">
        <f aca="false">IF(Search!$B$3="",0,IF($A3284="",N(K3283),IF(ISNUMBER(SEARCH(Search!$B$3,$A3284&amp;"")),N(K3283)+1,N(K3283))))</f>
        <v>0</v>
      </c>
    </row>
    <row r="3285" customFormat="false" ht="15" hidden="false" customHeight="false" outlineLevel="0" collapsed="false">
      <c r="K3285" s="24" t="n">
        <f aca="false">IF(Search!$B$3="",0,IF($A3285="",N(K3284),IF(ISNUMBER(SEARCH(Search!$B$3,$A3285&amp;"")),N(K3284)+1,N(K3284))))</f>
        <v>0</v>
      </c>
    </row>
    <row r="3286" customFormat="false" ht="15" hidden="false" customHeight="false" outlineLevel="0" collapsed="false">
      <c r="K3286" s="24" t="n">
        <f aca="false">IF(Search!$B$3="",0,IF($A3286="",N(K3285),IF(ISNUMBER(SEARCH(Search!$B$3,$A3286&amp;"")),N(K3285)+1,N(K3285))))</f>
        <v>0</v>
      </c>
    </row>
    <row r="3287" customFormat="false" ht="15" hidden="false" customHeight="false" outlineLevel="0" collapsed="false">
      <c r="K3287" s="24" t="n">
        <f aca="false">IF(Search!$B$3="",0,IF($A3287="",N(K3286),IF(ISNUMBER(SEARCH(Search!$B$3,$A3287&amp;"")),N(K3286)+1,N(K3286))))</f>
        <v>0</v>
      </c>
    </row>
    <row r="3288" customFormat="false" ht="15" hidden="false" customHeight="false" outlineLevel="0" collapsed="false">
      <c r="K3288" s="24" t="n">
        <f aca="false">IF(Search!$B$3="",0,IF($A3288="",N(K3287),IF(ISNUMBER(SEARCH(Search!$B$3,$A3288&amp;"")),N(K3287)+1,N(K3287))))</f>
        <v>0</v>
      </c>
    </row>
    <row r="3289" customFormat="false" ht="15" hidden="false" customHeight="false" outlineLevel="0" collapsed="false">
      <c r="K3289" s="24" t="n">
        <f aca="false">IF(Search!$B$3="",0,IF($A3289="",N(K3288),IF(ISNUMBER(SEARCH(Search!$B$3,$A3289&amp;"")),N(K3288)+1,N(K3288))))</f>
        <v>0</v>
      </c>
    </row>
    <row r="3290" customFormat="false" ht="15" hidden="false" customHeight="false" outlineLevel="0" collapsed="false">
      <c r="K3290" s="24" t="n">
        <f aca="false">IF(Search!$B$3="",0,IF($A3290="",N(K3289),IF(ISNUMBER(SEARCH(Search!$B$3,$A3290&amp;"")),N(K3289)+1,N(K3289))))</f>
        <v>0</v>
      </c>
    </row>
    <row r="3291" customFormat="false" ht="15" hidden="false" customHeight="false" outlineLevel="0" collapsed="false">
      <c r="K3291" s="24" t="n">
        <f aca="false">IF(Search!$B$3="",0,IF($A3291="",N(K3290),IF(ISNUMBER(SEARCH(Search!$B$3,$A3291&amp;"")),N(K3290)+1,N(K3290))))</f>
        <v>0</v>
      </c>
    </row>
    <row r="3292" customFormat="false" ht="15" hidden="false" customHeight="false" outlineLevel="0" collapsed="false">
      <c r="K3292" s="24" t="n">
        <f aca="false">IF(Search!$B$3="",0,IF($A3292="",N(K3291),IF(ISNUMBER(SEARCH(Search!$B$3,$A3292&amp;"")),N(K3291)+1,N(K3291))))</f>
        <v>0</v>
      </c>
    </row>
    <row r="3293" customFormat="false" ht="15" hidden="false" customHeight="false" outlineLevel="0" collapsed="false">
      <c r="K3293" s="24" t="n">
        <f aca="false">IF(Search!$B$3="",0,IF($A3293="",N(K3292),IF(ISNUMBER(SEARCH(Search!$B$3,$A3293&amp;"")),N(K3292)+1,N(K3292))))</f>
        <v>0</v>
      </c>
    </row>
    <row r="3294" customFormat="false" ht="15" hidden="false" customHeight="false" outlineLevel="0" collapsed="false">
      <c r="K3294" s="24" t="n">
        <f aca="false">IF(Search!$B$3="",0,IF($A3294="",N(K3293),IF(ISNUMBER(SEARCH(Search!$B$3,$A3294&amp;"")),N(K3293)+1,N(K3293))))</f>
        <v>0</v>
      </c>
    </row>
    <row r="3295" customFormat="false" ht="15" hidden="false" customHeight="false" outlineLevel="0" collapsed="false">
      <c r="K3295" s="24" t="n">
        <f aca="false">IF(Search!$B$3="",0,IF($A3295="",N(K3294),IF(ISNUMBER(SEARCH(Search!$B$3,$A3295&amp;"")),N(K3294)+1,N(K3294))))</f>
        <v>0</v>
      </c>
    </row>
    <row r="3296" customFormat="false" ht="15" hidden="false" customHeight="false" outlineLevel="0" collapsed="false">
      <c r="K3296" s="24" t="n">
        <f aca="false">IF(Search!$B$3="",0,IF($A3296="",N(K3295),IF(ISNUMBER(SEARCH(Search!$B$3,$A3296&amp;"")),N(K3295)+1,N(K3295))))</f>
        <v>0</v>
      </c>
    </row>
    <row r="3297" customFormat="false" ht="15" hidden="false" customHeight="false" outlineLevel="0" collapsed="false">
      <c r="K3297" s="24" t="n">
        <f aca="false">IF(Search!$B$3="",0,IF($A3297="",N(K3296),IF(ISNUMBER(SEARCH(Search!$B$3,$A3297&amp;"")),N(K3296)+1,N(K3296))))</f>
        <v>0</v>
      </c>
    </row>
    <row r="3298" customFormat="false" ht="15" hidden="false" customHeight="false" outlineLevel="0" collapsed="false">
      <c r="K3298" s="24" t="n">
        <f aca="false">IF(Search!$B$3="",0,IF($A3298="",N(K3297),IF(ISNUMBER(SEARCH(Search!$B$3,$A3298&amp;"")),N(K3297)+1,N(K3297))))</f>
        <v>0</v>
      </c>
    </row>
    <row r="3299" customFormat="false" ht="15" hidden="false" customHeight="false" outlineLevel="0" collapsed="false">
      <c r="K3299" s="24" t="n">
        <f aca="false">IF(Search!$B$3="",0,IF($A3299="",N(K3298),IF(ISNUMBER(SEARCH(Search!$B$3,$A3299&amp;"")),N(K3298)+1,N(K3298))))</f>
        <v>0</v>
      </c>
    </row>
    <row r="3300" customFormat="false" ht="15" hidden="false" customHeight="false" outlineLevel="0" collapsed="false">
      <c r="K3300" s="24" t="n">
        <f aca="false">IF(Search!$B$3="",0,IF($A3300="",N(K3299),IF(ISNUMBER(SEARCH(Search!$B$3,$A3300&amp;"")),N(K3299)+1,N(K3299))))</f>
        <v>0</v>
      </c>
    </row>
    <row r="3301" customFormat="false" ht="15" hidden="false" customHeight="false" outlineLevel="0" collapsed="false">
      <c r="K3301" s="24" t="n">
        <f aca="false">IF(Search!$B$3="",0,IF($A3301="",N(K3300),IF(ISNUMBER(SEARCH(Search!$B$3,$A3301&amp;"")),N(K3300)+1,N(K3300))))</f>
        <v>0</v>
      </c>
    </row>
    <row r="3302" customFormat="false" ht="15" hidden="false" customHeight="false" outlineLevel="0" collapsed="false">
      <c r="K3302" s="24" t="n">
        <f aca="false">IF(Search!$B$3="",0,IF($A3302="",N(K3301),IF(ISNUMBER(SEARCH(Search!$B$3,$A3302&amp;"")),N(K3301)+1,N(K3301))))</f>
        <v>0</v>
      </c>
    </row>
    <row r="3303" customFormat="false" ht="15" hidden="false" customHeight="false" outlineLevel="0" collapsed="false">
      <c r="K3303" s="24" t="n">
        <f aca="false">IF(Search!$B$3="",0,IF($A3303="",N(K3302),IF(ISNUMBER(SEARCH(Search!$B$3,$A3303&amp;"")),N(K3302)+1,N(K3302))))</f>
        <v>0</v>
      </c>
    </row>
    <row r="3304" customFormat="false" ht="15" hidden="false" customHeight="false" outlineLevel="0" collapsed="false">
      <c r="K3304" s="24" t="n">
        <f aca="false">IF(Search!$B$3="",0,IF($A3304="",N(K3303),IF(ISNUMBER(SEARCH(Search!$B$3,$A3304&amp;"")),N(K3303)+1,N(K3303))))</f>
        <v>0</v>
      </c>
    </row>
    <row r="3305" customFormat="false" ht="15" hidden="false" customHeight="false" outlineLevel="0" collapsed="false">
      <c r="K3305" s="24" t="n">
        <f aca="false">IF(Search!$B$3="",0,IF($A3305="",N(K3304),IF(ISNUMBER(SEARCH(Search!$B$3,$A3305&amp;"")),N(K3304)+1,N(K3304))))</f>
        <v>0</v>
      </c>
    </row>
    <row r="3306" customFormat="false" ht="15" hidden="false" customHeight="false" outlineLevel="0" collapsed="false">
      <c r="K3306" s="24" t="n">
        <f aca="false">IF(Search!$B$3="",0,IF($A3306="",N(K3305),IF(ISNUMBER(SEARCH(Search!$B$3,$A3306&amp;"")),N(K3305)+1,N(K3305))))</f>
        <v>0</v>
      </c>
    </row>
    <row r="3307" customFormat="false" ht="15" hidden="false" customHeight="false" outlineLevel="0" collapsed="false">
      <c r="K3307" s="24" t="n">
        <f aca="false">IF(Search!$B$3="",0,IF($A3307="",N(K3306),IF(ISNUMBER(SEARCH(Search!$B$3,$A3307&amp;"")),N(K3306)+1,N(K3306))))</f>
        <v>0</v>
      </c>
    </row>
    <row r="3308" customFormat="false" ht="15" hidden="false" customHeight="false" outlineLevel="0" collapsed="false">
      <c r="K3308" s="24" t="n">
        <f aca="false">IF(Search!$B$3="",0,IF($A3308="",N(K3307),IF(ISNUMBER(SEARCH(Search!$B$3,$A3308&amp;"")),N(K3307)+1,N(K3307))))</f>
        <v>0</v>
      </c>
    </row>
    <row r="3309" customFormat="false" ht="15" hidden="false" customHeight="false" outlineLevel="0" collapsed="false">
      <c r="K3309" s="24" t="n">
        <f aca="false">IF(Search!$B$3="",0,IF($A3309="",N(K3308),IF(ISNUMBER(SEARCH(Search!$B$3,$A3309&amp;"")),N(K3308)+1,N(K3308))))</f>
        <v>0</v>
      </c>
    </row>
    <row r="3310" customFormat="false" ht="15" hidden="false" customHeight="false" outlineLevel="0" collapsed="false">
      <c r="K3310" s="24" t="n">
        <f aca="false">IF(Search!$B$3="",0,IF($A3310="",N(K3309),IF(ISNUMBER(SEARCH(Search!$B$3,$A3310&amp;"")),N(K3309)+1,N(K3309))))</f>
        <v>0</v>
      </c>
    </row>
    <row r="3311" customFormat="false" ht="15" hidden="false" customHeight="false" outlineLevel="0" collapsed="false">
      <c r="K3311" s="24" t="n">
        <f aca="false">IF(Search!$B$3="",0,IF($A3311="",N(K3310),IF(ISNUMBER(SEARCH(Search!$B$3,$A3311&amp;"")),N(K3310)+1,N(K3310))))</f>
        <v>0</v>
      </c>
    </row>
    <row r="3312" customFormat="false" ht="15" hidden="false" customHeight="false" outlineLevel="0" collapsed="false">
      <c r="K3312" s="24" t="n">
        <f aca="false">IF(Search!$B$3="",0,IF($A3312="",N(K3311),IF(ISNUMBER(SEARCH(Search!$B$3,$A3312&amp;"")),N(K3311)+1,N(K3311))))</f>
        <v>0</v>
      </c>
    </row>
    <row r="3313" customFormat="false" ht="15" hidden="false" customHeight="false" outlineLevel="0" collapsed="false">
      <c r="K3313" s="24" t="n">
        <f aca="false">IF(Search!$B$3="",0,IF($A3313="",N(K3312),IF(ISNUMBER(SEARCH(Search!$B$3,$A3313&amp;"")),N(K3312)+1,N(K3312))))</f>
        <v>0</v>
      </c>
    </row>
    <row r="3314" customFormat="false" ht="15" hidden="false" customHeight="false" outlineLevel="0" collapsed="false">
      <c r="K3314" s="24" t="n">
        <f aca="false">IF(Search!$B$3="",0,IF($A3314="",N(K3313),IF(ISNUMBER(SEARCH(Search!$B$3,$A3314&amp;"")),N(K3313)+1,N(K3313))))</f>
        <v>0</v>
      </c>
    </row>
    <row r="3315" customFormat="false" ht="15" hidden="false" customHeight="false" outlineLevel="0" collapsed="false">
      <c r="K3315" s="24" t="n">
        <f aca="false">IF(Search!$B$3="",0,IF($A3315="",N(K3314),IF(ISNUMBER(SEARCH(Search!$B$3,$A3315&amp;"")),N(K3314)+1,N(K3314))))</f>
        <v>0</v>
      </c>
    </row>
    <row r="3316" customFormat="false" ht="15" hidden="false" customHeight="false" outlineLevel="0" collapsed="false">
      <c r="K3316" s="24" t="n">
        <f aca="false">IF(Search!$B$3="",0,IF($A3316="",N(K3315),IF(ISNUMBER(SEARCH(Search!$B$3,$A3316&amp;"")),N(K3315)+1,N(K3315))))</f>
        <v>0</v>
      </c>
    </row>
    <row r="3317" customFormat="false" ht="15" hidden="false" customHeight="false" outlineLevel="0" collapsed="false">
      <c r="K3317" s="24" t="n">
        <f aca="false">IF(Search!$B$3="",0,IF($A3317="",N(K3316),IF(ISNUMBER(SEARCH(Search!$B$3,$A3317&amp;"")),N(K3316)+1,N(K3316))))</f>
        <v>0</v>
      </c>
    </row>
    <row r="3318" customFormat="false" ht="15" hidden="false" customHeight="false" outlineLevel="0" collapsed="false">
      <c r="K3318" s="24" t="n">
        <f aca="false">IF(Search!$B$3="",0,IF($A3318="",N(K3317),IF(ISNUMBER(SEARCH(Search!$B$3,$A3318&amp;"")),N(K3317)+1,N(K3317))))</f>
        <v>0</v>
      </c>
    </row>
    <row r="3319" customFormat="false" ht="15" hidden="false" customHeight="false" outlineLevel="0" collapsed="false">
      <c r="K3319" s="24" t="n">
        <f aca="false">IF(Search!$B$3="",0,IF($A3319="",N(K3318),IF(ISNUMBER(SEARCH(Search!$B$3,$A3319&amp;"")),N(K3318)+1,N(K3318))))</f>
        <v>0</v>
      </c>
    </row>
    <row r="3320" customFormat="false" ht="15" hidden="false" customHeight="false" outlineLevel="0" collapsed="false">
      <c r="K3320" s="24" t="n">
        <f aca="false">IF(Search!$B$3="",0,IF($A3320="",N(K3319),IF(ISNUMBER(SEARCH(Search!$B$3,$A3320&amp;"")),N(K3319)+1,N(K3319))))</f>
        <v>0</v>
      </c>
    </row>
    <row r="3321" customFormat="false" ht="15" hidden="false" customHeight="false" outlineLevel="0" collapsed="false">
      <c r="K3321" s="24" t="n">
        <f aca="false">IF(Search!$B$3="",0,IF($A3321="",N(K3320),IF(ISNUMBER(SEARCH(Search!$B$3,$A3321&amp;"")),N(K3320)+1,N(K3320))))</f>
        <v>0</v>
      </c>
    </row>
    <row r="3322" customFormat="false" ht="15" hidden="false" customHeight="false" outlineLevel="0" collapsed="false">
      <c r="K3322" s="24" t="n">
        <f aca="false">IF(Search!$B$3="",0,IF($A3322="",N(K3321),IF(ISNUMBER(SEARCH(Search!$B$3,$A3322&amp;"")),N(K3321)+1,N(K3321))))</f>
        <v>0</v>
      </c>
    </row>
    <row r="3323" customFormat="false" ht="15" hidden="false" customHeight="false" outlineLevel="0" collapsed="false">
      <c r="K3323" s="24" t="n">
        <f aca="false">IF(Search!$B$3="",0,IF($A3323="",N(K3322),IF(ISNUMBER(SEARCH(Search!$B$3,$A3323&amp;"")),N(K3322)+1,N(K3322))))</f>
        <v>0</v>
      </c>
    </row>
    <row r="3324" customFormat="false" ht="15" hidden="false" customHeight="false" outlineLevel="0" collapsed="false">
      <c r="K3324" s="24" t="n">
        <f aca="false">IF(Search!$B$3="",0,IF($A3324="",N(K3323),IF(ISNUMBER(SEARCH(Search!$B$3,$A3324&amp;"")),N(K3323)+1,N(K3323))))</f>
        <v>0</v>
      </c>
    </row>
    <row r="3325" customFormat="false" ht="15" hidden="false" customHeight="false" outlineLevel="0" collapsed="false">
      <c r="K3325" s="24" t="n">
        <f aca="false">IF(Search!$B$3="",0,IF($A3325="",N(K3324),IF(ISNUMBER(SEARCH(Search!$B$3,$A3325&amp;"")),N(K3324)+1,N(K3324))))</f>
        <v>0</v>
      </c>
    </row>
    <row r="3326" customFormat="false" ht="15" hidden="false" customHeight="false" outlineLevel="0" collapsed="false">
      <c r="K3326" s="24" t="n">
        <f aca="false">IF(Search!$B$3="",0,IF($A3326="",N(K3325),IF(ISNUMBER(SEARCH(Search!$B$3,$A3326&amp;"")),N(K3325)+1,N(K3325))))</f>
        <v>0</v>
      </c>
    </row>
    <row r="3327" customFormat="false" ht="15" hidden="false" customHeight="false" outlineLevel="0" collapsed="false">
      <c r="K3327" s="24" t="n">
        <f aca="false">IF(Search!$B$3="",0,IF($A3327="",N(K3326),IF(ISNUMBER(SEARCH(Search!$B$3,$A3327&amp;"")),N(K3326)+1,N(K3326))))</f>
        <v>0</v>
      </c>
    </row>
    <row r="3328" customFormat="false" ht="15" hidden="false" customHeight="false" outlineLevel="0" collapsed="false">
      <c r="K3328" s="24" t="n">
        <f aca="false">IF(Search!$B$3="",0,IF($A3328="",N(K3327),IF(ISNUMBER(SEARCH(Search!$B$3,$A3328&amp;"")),N(K3327)+1,N(K3327))))</f>
        <v>0</v>
      </c>
    </row>
    <row r="3329" customFormat="false" ht="15" hidden="false" customHeight="false" outlineLevel="0" collapsed="false">
      <c r="K3329" s="24" t="n">
        <f aca="false">IF(Search!$B$3="",0,IF($A3329="",N(K3328),IF(ISNUMBER(SEARCH(Search!$B$3,$A3329&amp;"")),N(K3328)+1,N(K3328))))</f>
        <v>0</v>
      </c>
    </row>
    <row r="3330" customFormat="false" ht="15" hidden="false" customHeight="false" outlineLevel="0" collapsed="false">
      <c r="K3330" s="24" t="n">
        <f aca="false">IF(Search!$B$3="",0,IF($A3330="",N(K3329),IF(ISNUMBER(SEARCH(Search!$B$3,$A3330&amp;"")),N(K3329)+1,N(K3329))))</f>
        <v>0</v>
      </c>
    </row>
    <row r="3331" customFormat="false" ht="15" hidden="false" customHeight="false" outlineLevel="0" collapsed="false">
      <c r="K3331" s="24" t="n">
        <f aca="false">IF(Search!$B$3="",0,IF($A3331="",N(K3330),IF(ISNUMBER(SEARCH(Search!$B$3,$A3331&amp;"")),N(K3330)+1,N(K3330))))</f>
        <v>0</v>
      </c>
    </row>
    <row r="3332" customFormat="false" ht="15" hidden="false" customHeight="false" outlineLevel="0" collapsed="false">
      <c r="K3332" s="24" t="n">
        <f aca="false">IF(Search!$B$3="",0,IF($A3332="",N(K3331),IF(ISNUMBER(SEARCH(Search!$B$3,$A3332&amp;"")),N(K3331)+1,N(K3331))))</f>
        <v>0</v>
      </c>
    </row>
    <row r="3333" customFormat="false" ht="15" hidden="false" customHeight="false" outlineLevel="0" collapsed="false">
      <c r="K3333" s="24" t="n">
        <f aca="false">IF(Search!$B$3="",0,IF($A3333="",N(K3332),IF(ISNUMBER(SEARCH(Search!$B$3,$A3333&amp;"")),N(K3332)+1,N(K3332))))</f>
        <v>0</v>
      </c>
    </row>
    <row r="3334" customFormat="false" ht="15" hidden="false" customHeight="false" outlineLevel="0" collapsed="false">
      <c r="K3334" s="24" t="n">
        <f aca="false">IF(Search!$B$3="",0,IF($A3334="",N(K3333),IF(ISNUMBER(SEARCH(Search!$B$3,$A3334&amp;"")),N(K3333)+1,N(K3333))))</f>
        <v>0</v>
      </c>
    </row>
    <row r="3335" customFormat="false" ht="15" hidden="false" customHeight="false" outlineLevel="0" collapsed="false">
      <c r="K3335" s="24" t="n">
        <f aca="false">IF(Search!$B$3="",0,IF($A3335="",N(K3334),IF(ISNUMBER(SEARCH(Search!$B$3,$A3335&amp;"")),N(K3334)+1,N(K3334))))</f>
        <v>0</v>
      </c>
    </row>
    <row r="3336" customFormat="false" ht="15" hidden="false" customHeight="false" outlineLevel="0" collapsed="false">
      <c r="K3336" s="24" t="n">
        <f aca="false">IF(Search!$B$3="",0,IF($A3336="",N(K3335),IF(ISNUMBER(SEARCH(Search!$B$3,$A3336&amp;"")),N(K3335)+1,N(K3335))))</f>
        <v>0</v>
      </c>
    </row>
    <row r="3337" customFormat="false" ht="15" hidden="false" customHeight="false" outlineLevel="0" collapsed="false">
      <c r="K3337" s="24" t="n">
        <f aca="false">IF(Search!$B$3="",0,IF($A3337="",N(K3336),IF(ISNUMBER(SEARCH(Search!$B$3,$A3337&amp;"")),N(K3336)+1,N(K3336))))</f>
        <v>0</v>
      </c>
    </row>
    <row r="3338" customFormat="false" ht="15" hidden="false" customHeight="false" outlineLevel="0" collapsed="false">
      <c r="K3338" s="24" t="n">
        <f aca="false">IF(Search!$B$3="",0,IF($A3338="",N(K3337),IF(ISNUMBER(SEARCH(Search!$B$3,$A3338&amp;"")),N(K3337)+1,N(K3337))))</f>
        <v>0</v>
      </c>
    </row>
    <row r="3339" customFormat="false" ht="15" hidden="false" customHeight="false" outlineLevel="0" collapsed="false">
      <c r="K3339" s="24" t="n">
        <f aca="false">IF(Search!$B$3="",0,IF($A3339="",N(K3338),IF(ISNUMBER(SEARCH(Search!$B$3,$A3339&amp;"")),N(K3338)+1,N(K3338))))</f>
        <v>0</v>
      </c>
    </row>
    <row r="3340" customFormat="false" ht="15" hidden="false" customHeight="false" outlineLevel="0" collapsed="false">
      <c r="K3340" s="24" t="n">
        <f aca="false">IF(Search!$B$3="",0,IF($A3340="",N(K3339),IF(ISNUMBER(SEARCH(Search!$B$3,$A3340&amp;"")),N(K3339)+1,N(K3339))))</f>
        <v>0</v>
      </c>
    </row>
    <row r="3341" customFormat="false" ht="15" hidden="false" customHeight="false" outlineLevel="0" collapsed="false">
      <c r="K3341" s="24" t="n">
        <f aca="false">IF(Search!$B$3="",0,IF($A3341="",N(K3340),IF(ISNUMBER(SEARCH(Search!$B$3,$A3341&amp;"")),N(K3340)+1,N(K3340))))</f>
        <v>0</v>
      </c>
    </row>
    <row r="3342" customFormat="false" ht="15" hidden="false" customHeight="false" outlineLevel="0" collapsed="false">
      <c r="K3342" s="24" t="n">
        <f aca="false">IF(Search!$B$3="",0,IF($A3342="",N(K3341),IF(ISNUMBER(SEARCH(Search!$B$3,$A3342&amp;"")),N(K3341)+1,N(K3341))))</f>
        <v>0</v>
      </c>
    </row>
    <row r="3343" customFormat="false" ht="15" hidden="false" customHeight="false" outlineLevel="0" collapsed="false">
      <c r="K3343" s="24" t="n">
        <f aca="false">IF(Search!$B$3="",0,IF($A3343="",N(K3342),IF(ISNUMBER(SEARCH(Search!$B$3,$A3343&amp;"")),N(K3342)+1,N(K3342))))</f>
        <v>0</v>
      </c>
    </row>
    <row r="3344" customFormat="false" ht="15" hidden="false" customHeight="false" outlineLevel="0" collapsed="false">
      <c r="K3344" s="24" t="n">
        <f aca="false">IF(Search!$B$3="",0,IF($A3344="",N(K3343),IF(ISNUMBER(SEARCH(Search!$B$3,$A3344&amp;"")),N(K3343)+1,N(K3343))))</f>
        <v>0</v>
      </c>
    </row>
    <row r="3345" customFormat="false" ht="15" hidden="false" customHeight="false" outlineLevel="0" collapsed="false">
      <c r="K3345" s="24" t="n">
        <f aca="false">IF(Search!$B$3="",0,IF($A3345="",N(K3344),IF(ISNUMBER(SEARCH(Search!$B$3,$A3345&amp;"")),N(K3344)+1,N(K3344))))</f>
        <v>0</v>
      </c>
    </row>
    <row r="3346" customFormat="false" ht="15" hidden="false" customHeight="false" outlineLevel="0" collapsed="false">
      <c r="K3346" s="24" t="n">
        <f aca="false">IF(Search!$B$3="",0,IF($A3346="",N(K3345),IF(ISNUMBER(SEARCH(Search!$B$3,$A3346&amp;"")),N(K3345)+1,N(K3345))))</f>
        <v>0</v>
      </c>
    </row>
    <row r="3347" customFormat="false" ht="15" hidden="false" customHeight="false" outlineLevel="0" collapsed="false">
      <c r="K3347" s="24" t="n">
        <f aca="false">IF(Search!$B$3="",0,IF($A3347="",N(K3346),IF(ISNUMBER(SEARCH(Search!$B$3,$A3347&amp;"")),N(K3346)+1,N(K3346))))</f>
        <v>0</v>
      </c>
    </row>
    <row r="3348" customFormat="false" ht="15" hidden="false" customHeight="false" outlineLevel="0" collapsed="false">
      <c r="K3348" s="24" t="n">
        <f aca="false">IF(Search!$B$3="",0,IF($A3348="",N(K3347),IF(ISNUMBER(SEARCH(Search!$B$3,$A3348&amp;"")),N(K3347)+1,N(K3347))))</f>
        <v>0</v>
      </c>
    </row>
    <row r="3349" customFormat="false" ht="15" hidden="false" customHeight="false" outlineLevel="0" collapsed="false">
      <c r="K3349" s="24" t="n">
        <f aca="false">IF(Search!$B$3="",0,IF($A3349="",N(K3348),IF(ISNUMBER(SEARCH(Search!$B$3,$A3349&amp;"")),N(K3348)+1,N(K3348))))</f>
        <v>0</v>
      </c>
    </row>
    <row r="3350" customFormat="false" ht="15" hidden="false" customHeight="false" outlineLevel="0" collapsed="false">
      <c r="K3350" s="24" t="n">
        <f aca="false">IF(Search!$B$3="",0,IF($A3350="",N(K3349),IF(ISNUMBER(SEARCH(Search!$B$3,$A3350&amp;"")),N(K3349)+1,N(K3349))))</f>
        <v>0</v>
      </c>
    </row>
    <row r="3351" customFormat="false" ht="15" hidden="false" customHeight="false" outlineLevel="0" collapsed="false">
      <c r="K3351" s="24" t="n">
        <f aca="false">IF(Search!$B$3="",0,IF($A3351="",N(K3350),IF(ISNUMBER(SEARCH(Search!$B$3,$A3351&amp;"")),N(K3350)+1,N(K3350))))</f>
        <v>0</v>
      </c>
    </row>
    <row r="3352" customFormat="false" ht="15" hidden="false" customHeight="false" outlineLevel="0" collapsed="false">
      <c r="K3352" s="24" t="n">
        <f aca="false">IF(Search!$B$3="",0,IF($A3352="",N(K3351),IF(ISNUMBER(SEARCH(Search!$B$3,$A3352&amp;"")),N(K3351)+1,N(K3351))))</f>
        <v>0</v>
      </c>
    </row>
    <row r="3353" customFormat="false" ht="15" hidden="false" customHeight="false" outlineLevel="0" collapsed="false">
      <c r="K3353" s="24" t="n">
        <f aca="false">IF(Search!$B$3="",0,IF($A3353="",N(K3352),IF(ISNUMBER(SEARCH(Search!$B$3,$A3353&amp;"")),N(K3352)+1,N(K3352))))</f>
        <v>0</v>
      </c>
    </row>
    <row r="3354" customFormat="false" ht="15" hidden="false" customHeight="false" outlineLevel="0" collapsed="false">
      <c r="K3354" s="24" t="n">
        <f aca="false">IF(Search!$B$3="",0,IF($A3354="",N(K3353),IF(ISNUMBER(SEARCH(Search!$B$3,$A3354&amp;"")),N(K3353)+1,N(K3353))))</f>
        <v>0</v>
      </c>
    </row>
    <row r="3355" customFormat="false" ht="15" hidden="false" customHeight="false" outlineLevel="0" collapsed="false">
      <c r="K3355" s="24" t="n">
        <f aca="false">IF(Search!$B$3="",0,IF($A3355="",N(K3354),IF(ISNUMBER(SEARCH(Search!$B$3,$A3355&amp;"")),N(K3354)+1,N(K3354))))</f>
        <v>0</v>
      </c>
    </row>
    <row r="3356" customFormat="false" ht="15" hidden="false" customHeight="false" outlineLevel="0" collapsed="false">
      <c r="K3356" s="24" t="n">
        <f aca="false">IF(Search!$B$3="",0,IF($A3356="",N(K3355),IF(ISNUMBER(SEARCH(Search!$B$3,$A3356&amp;"")),N(K3355)+1,N(K3355))))</f>
        <v>0</v>
      </c>
    </row>
    <row r="3357" customFormat="false" ht="15" hidden="false" customHeight="false" outlineLevel="0" collapsed="false">
      <c r="K3357" s="24" t="n">
        <f aca="false">IF(Search!$B$3="",0,IF($A3357="",N(K3356),IF(ISNUMBER(SEARCH(Search!$B$3,$A3357&amp;"")),N(K3356)+1,N(K3356))))</f>
        <v>0</v>
      </c>
    </row>
    <row r="3358" customFormat="false" ht="15" hidden="false" customHeight="false" outlineLevel="0" collapsed="false">
      <c r="K3358" s="24" t="n">
        <f aca="false">IF(Search!$B$3="",0,IF($A3358="",N(K3357),IF(ISNUMBER(SEARCH(Search!$B$3,$A3358&amp;"")),N(K3357)+1,N(K3357))))</f>
        <v>0</v>
      </c>
    </row>
    <row r="3359" customFormat="false" ht="15" hidden="false" customHeight="false" outlineLevel="0" collapsed="false">
      <c r="K3359" s="24" t="n">
        <f aca="false">IF(Search!$B$3="",0,IF($A3359="",N(K3358),IF(ISNUMBER(SEARCH(Search!$B$3,$A3359&amp;"")),N(K3358)+1,N(K3358))))</f>
        <v>0</v>
      </c>
    </row>
    <row r="3360" customFormat="false" ht="15" hidden="false" customHeight="false" outlineLevel="0" collapsed="false">
      <c r="K3360" s="24" t="n">
        <f aca="false">IF(Search!$B$3="",0,IF($A3360="",N(K3359),IF(ISNUMBER(SEARCH(Search!$B$3,$A3360&amp;"")),N(K3359)+1,N(K3359))))</f>
        <v>0</v>
      </c>
    </row>
    <row r="3361" customFormat="false" ht="15" hidden="false" customHeight="false" outlineLevel="0" collapsed="false">
      <c r="K3361" s="24" t="n">
        <f aca="false">IF(Search!$B$3="",0,IF($A3361="",N(K3360),IF(ISNUMBER(SEARCH(Search!$B$3,$A3361&amp;"")),N(K3360)+1,N(K3360))))</f>
        <v>0</v>
      </c>
    </row>
    <row r="3362" customFormat="false" ht="15" hidden="false" customHeight="false" outlineLevel="0" collapsed="false">
      <c r="K3362" s="24" t="n">
        <f aca="false">IF(Search!$B$3="",0,IF($A3362="",N(K3361),IF(ISNUMBER(SEARCH(Search!$B$3,$A3362&amp;"")),N(K3361)+1,N(K3361))))</f>
        <v>0</v>
      </c>
    </row>
    <row r="3363" customFormat="false" ht="15" hidden="false" customHeight="false" outlineLevel="0" collapsed="false">
      <c r="K3363" s="24" t="n">
        <f aca="false">IF(Search!$B$3="",0,IF($A3363="",N(K3362),IF(ISNUMBER(SEARCH(Search!$B$3,$A3363&amp;"")),N(K3362)+1,N(K3362))))</f>
        <v>0</v>
      </c>
    </row>
    <row r="3364" customFormat="false" ht="15" hidden="false" customHeight="false" outlineLevel="0" collapsed="false">
      <c r="K3364" s="24" t="n">
        <f aca="false">IF(Search!$B$3="",0,IF($A3364="",N(K3363),IF(ISNUMBER(SEARCH(Search!$B$3,$A3364&amp;"")),N(K3363)+1,N(K3363))))</f>
        <v>0</v>
      </c>
    </row>
    <row r="3365" customFormat="false" ht="15" hidden="false" customHeight="false" outlineLevel="0" collapsed="false">
      <c r="K3365" s="24" t="n">
        <f aca="false">IF(Search!$B$3="",0,IF($A3365="",N(K3364),IF(ISNUMBER(SEARCH(Search!$B$3,$A3365&amp;"")),N(K3364)+1,N(K3364))))</f>
        <v>0</v>
      </c>
    </row>
    <row r="3366" customFormat="false" ht="15" hidden="false" customHeight="false" outlineLevel="0" collapsed="false">
      <c r="K3366" s="24" t="n">
        <f aca="false">IF(Search!$B$3="",0,IF($A3366="",N(K3365),IF(ISNUMBER(SEARCH(Search!$B$3,$A3366&amp;"")),N(K3365)+1,N(K3365))))</f>
        <v>0</v>
      </c>
    </row>
    <row r="3367" customFormat="false" ht="15" hidden="false" customHeight="false" outlineLevel="0" collapsed="false">
      <c r="K3367" s="24" t="n">
        <f aca="false">IF(Search!$B$3="",0,IF($A3367="",N(K3366),IF(ISNUMBER(SEARCH(Search!$B$3,$A3367&amp;"")),N(K3366)+1,N(K3366))))</f>
        <v>0</v>
      </c>
    </row>
    <row r="3368" customFormat="false" ht="15" hidden="false" customHeight="false" outlineLevel="0" collapsed="false">
      <c r="K3368" s="24" t="n">
        <f aca="false">IF(Search!$B$3="",0,IF($A3368="",N(K3367),IF(ISNUMBER(SEARCH(Search!$B$3,$A3368&amp;"")),N(K3367)+1,N(K3367))))</f>
        <v>0</v>
      </c>
    </row>
    <row r="3369" customFormat="false" ht="15" hidden="false" customHeight="false" outlineLevel="0" collapsed="false">
      <c r="K3369" s="24" t="n">
        <f aca="false">IF(Search!$B$3="",0,IF($A3369="",N(K3368),IF(ISNUMBER(SEARCH(Search!$B$3,$A3369&amp;"")),N(K3368)+1,N(K3368))))</f>
        <v>0</v>
      </c>
    </row>
    <row r="3370" customFormat="false" ht="15" hidden="false" customHeight="false" outlineLevel="0" collapsed="false">
      <c r="K3370" s="24" t="n">
        <f aca="false">IF(Search!$B$3="",0,IF($A3370="",N(K3369),IF(ISNUMBER(SEARCH(Search!$B$3,$A3370&amp;"")),N(K3369)+1,N(K3369))))</f>
        <v>0</v>
      </c>
    </row>
    <row r="3371" customFormat="false" ht="15" hidden="false" customHeight="false" outlineLevel="0" collapsed="false">
      <c r="K3371" s="24" t="n">
        <f aca="false">IF(Search!$B$3="",0,IF($A3371="",N(K3370),IF(ISNUMBER(SEARCH(Search!$B$3,$A3371&amp;"")),N(K3370)+1,N(K3370))))</f>
        <v>0</v>
      </c>
    </row>
    <row r="3372" customFormat="false" ht="15" hidden="false" customHeight="false" outlineLevel="0" collapsed="false">
      <c r="K3372" s="24" t="n">
        <f aca="false">IF(Search!$B$3="",0,IF($A3372="",N(K3371),IF(ISNUMBER(SEARCH(Search!$B$3,$A3372&amp;"")),N(K3371)+1,N(K3371))))</f>
        <v>0</v>
      </c>
    </row>
    <row r="3373" customFormat="false" ht="15" hidden="false" customHeight="false" outlineLevel="0" collapsed="false">
      <c r="K3373" s="24" t="n">
        <f aca="false">IF(Search!$B$3="",0,IF($A3373="",N(K3372),IF(ISNUMBER(SEARCH(Search!$B$3,$A3373&amp;"")),N(K3372)+1,N(K3372))))</f>
        <v>0</v>
      </c>
    </row>
    <row r="3374" customFormat="false" ht="15" hidden="false" customHeight="false" outlineLevel="0" collapsed="false">
      <c r="K3374" s="24" t="n">
        <f aca="false">IF(Search!$B$3="",0,IF($A3374="",N(K3373),IF(ISNUMBER(SEARCH(Search!$B$3,$A3374&amp;"")),N(K3373)+1,N(K3373))))</f>
        <v>0</v>
      </c>
    </row>
    <row r="3375" customFormat="false" ht="15" hidden="false" customHeight="false" outlineLevel="0" collapsed="false">
      <c r="K3375" s="24" t="n">
        <f aca="false">IF(Search!$B$3="",0,IF($A3375="",N(K3374),IF(ISNUMBER(SEARCH(Search!$B$3,$A3375&amp;"")),N(K3374)+1,N(K3374))))</f>
        <v>0</v>
      </c>
    </row>
    <row r="3376" customFormat="false" ht="15" hidden="false" customHeight="false" outlineLevel="0" collapsed="false">
      <c r="K3376" s="24" t="n">
        <f aca="false">IF(Search!$B$3="",0,IF($A3376="",N(K3375),IF(ISNUMBER(SEARCH(Search!$B$3,$A3376&amp;"")),N(K3375)+1,N(K3375))))</f>
        <v>0</v>
      </c>
    </row>
    <row r="3377" customFormat="false" ht="15" hidden="false" customHeight="false" outlineLevel="0" collapsed="false">
      <c r="K3377" s="24" t="n">
        <f aca="false">IF(Search!$B$3="",0,IF($A3377="",N(K3376),IF(ISNUMBER(SEARCH(Search!$B$3,$A3377&amp;"")),N(K3376)+1,N(K3376))))</f>
        <v>0</v>
      </c>
    </row>
    <row r="3378" customFormat="false" ht="15" hidden="false" customHeight="false" outlineLevel="0" collapsed="false">
      <c r="K3378" s="24" t="n">
        <f aca="false">IF(Search!$B$3="",0,IF($A3378="",N(K3377),IF(ISNUMBER(SEARCH(Search!$B$3,$A3378&amp;"")),N(K3377)+1,N(K3377))))</f>
        <v>0</v>
      </c>
    </row>
    <row r="3379" customFormat="false" ht="15" hidden="false" customHeight="false" outlineLevel="0" collapsed="false">
      <c r="K3379" s="24" t="n">
        <f aca="false">IF(Search!$B$3="",0,IF($A3379="",N(K3378),IF(ISNUMBER(SEARCH(Search!$B$3,$A3379&amp;"")),N(K3378)+1,N(K3378))))</f>
        <v>0</v>
      </c>
    </row>
    <row r="3380" customFormat="false" ht="15" hidden="false" customHeight="false" outlineLevel="0" collapsed="false">
      <c r="K3380" s="24" t="n">
        <f aca="false">IF(Search!$B$3="",0,IF($A3380="",N(K3379),IF(ISNUMBER(SEARCH(Search!$B$3,$A3380&amp;"")),N(K3379)+1,N(K3379))))</f>
        <v>0</v>
      </c>
    </row>
    <row r="3381" customFormat="false" ht="15" hidden="false" customHeight="false" outlineLevel="0" collapsed="false">
      <c r="K3381" s="24" t="n">
        <f aca="false">IF(Search!$B$3="",0,IF($A3381="",N(K3380),IF(ISNUMBER(SEARCH(Search!$B$3,$A3381&amp;"")),N(K3380)+1,N(K3380))))</f>
        <v>0</v>
      </c>
    </row>
    <row r="3382" customFormat="false" ht="15" hidden="false" customHeight="false" outlineLevel="0" collapsed="false">
      <c r="K3382" s="24" t="n">
        <f aca="false">IF(Search!$B$3="",0,IF($A3382="",N(K3381),IF(ISNUMBER(SEARCH(Search!$B$3,$A3382&amp;"")),N(K3381)+1,N(K3381))))</f>
        <v>0</v>
      </c>
    </row>
    <row r="3383" customFormat="false" ht="15" hidden="false" customHeight="false" outlineLevel="0" collapsed="false">
      <c r="K3383" s="24" t="n">
        <f aca="false">IF(Search!$B$3="",0,IF($A3383="",N(K3382),IF(ISNUMBER(SEARCH(Search!$B$3,$A3383&amp;"")),N(K3382)+1,N(K3382))))</f>
        <v>0</v>
      </c>
    </row>
    <row r="3384" customFormat="false" ht="15" hidden="false" customHeight="false" outlineLevel="0" collapsed="false">
      <c r="K3384" s="24" t="n">
        <f aca="false">IF(Search!$B$3="",0,IF($A3384="",N(K3383),IF(ISNUMBER(SEARCH(Search!$B$3,$A3384&amp;"")),N(K3383)+1,N(K3383))))</f>
        <v>0</v>
      </c>
    </row>
    <row r="3385" customFormat="false" ht="15" hidden="false" customHeight="false" outlineLevel="0" collapsed="false">
      <c r="K3385" s="24" t="n">
        <f aca="false">IF(Search!$B$3="",0,IF($A3385="",N(K3384),IF(ISNUMBER(SEARCH(Search!$B$3,$A3385&amp;"")),N(K3384)+1,N(K3384))))</f>
        <v>0</v>
      </c>
    </row>
    <row r="3386" customFormat="false" ht="15" hidden="false" customHeight="false" outlineLevel="0" collapsed="false">
      <c r="K3386" s="24" t="n">
        <f aca="false">IF(Search!$B$3="",0,IF($A3386="",N(K3385),IF(ISNUMBER(SEARCH(Search!$B$3,$A3386&amp;"")),N(K3385)+1,N(K3385))))</f>
        <v>0</v>
      </c>
    </row>
    <row r="3387" customFormat="false" ht="15" hidden="false" customHeight="false" outlineLevel="0" collapsed="false">
      <c r="K3387" s="24" t="n">
        <f aca="false">IF(Search!$B$3="",0,IF($A3387="",N(K3386),IF(ISNUMBER(SEARCH(Search!$B$3,$A3387&amp;"")),N(K3386)+1,N(K3386))))</f>
        <v>0</v>
      </c>
    </row>
    <row r="3388" customFormat="false" ht="15" hidden="false" customHeight="false" outlineLevel="0" collapsed="false">
      <c r="K3388" s="24" t="n">
        <f aca="false">IF(Search!$B$3="",0,IF($A3388="",N(K3387),IF(ISNUMBER(SEARCH(Search!$B$3,$A3388&amp;"")),N(K3387)+1,N(K3387))))</f>
        <v>0</v>
      </c>
    </row>
    <row r="3389" customFormat="false" ht="15" hidden="false" customHeight="false" outlineLevel="0" collapsed="false">
      <c r="K3389" s="24" t="n">
        <f aca="false">IF(Search!$B$3="",0,IF($A3389="",N(K3388),IF(ISNUMBER(SEARCH(Search!$B$3,$A3389&amp;"")),N(K3388)+1,N(K3388))))</f>
        <v>0</v>
      </c>
    </row>
    <row r="3390" customFormat="false" ht="15" hidden="false" customHeight="false" outlineLevel="0" collapsed="false">
      <c r="K3390" s="24" t="n">
        <f aca="false">IF(Search!$B$3="",0,IF($A3390="",N(K3389),IF(ISNUMBER(SEARCH(Search!$B$3,$A3390&amp;"")),N(K3389)+1,N(K3389))))</f>
        <v>0</v>
      </c>
    </row>
    <row r="3391" customFormat="false" ht="15" hidden="false" customHeight="false" outlineLevel="0" collapsed="false">
      <c r="K3391" s="24" t="n">
        <f aca="false">IF(Search!$B$3="",0,IF($A3391="",N(K3390),IF(ISNUMBER(SEARCH(Search!$B$3,$A3391&amp;"")),N(K3390)+1,N(K3390))))</f>
        <v>0</v>
      </c>
    </row>
    <row r="3392" customFormat="false" ht="15" hidden="false" customHeight="false" outlineLevel="0" collapsed="false">
      <c r="K3392" s="24" t="n">
        <f aca="false">IF(Search!$B$3="",0,IF($A3392="",N(K3391),IF(ISNUMBER(SEARCH(Search!$B$3,$A3392&amp;"")),N(K3391)+1,N(K3391))))</f>
        <v>0</v>
      </c>
    </row>
    <row r="3393" customFormat="false" ht="15" hidden="false" customHeight="false" outlineLevel="0" collapsed="false">
      <c r="K3393" s="24" t="n">
        <f aca="false">IF(Search!$B$3="",0,IF($A3393="",N(K3392),IF(ISNUMBER(SEARCH(Search!$B$3,$A3393&amp;"")),N(K3392)+1,N(K3392))))</f>
        <v>0</v>
      </c>
    </row>
    <row r="3394" customFormat="false" ht="15" hidden="false" customHeight="false" outlineLevel="0" collapsed="false">
      <c r="K3394" s="24" t="n">
        <f aca="false">IF(Search!$B$3="",0,IF($A3394="",N(K3393),IF(ISNUMBER(SEARCH(Search!$B$3,$A3394&amp;"")),N(K3393)+1,N(K3393))))</f>
        <v>0</v>
      </c>
    </row>
    <row r="3395" customFormat="false" ht="15" hidden="false" customHeight="false" outlineLevel="0" collapsed="false">
      <c r="K3395" s="24" t="n">
        <f aca="false">IF(Search!$B$3="",0,IF($A3395="",N(K3394),IF(ISNUMBER(SEARCH(Search!$B$3,$A3395&amp;"")),N(K3394)+1,N(K3394))))</f>
        <v>0</v>
      </c>
    </row>
    <row r="3396" customFormat="false" ht="15" hidden="false" customHeight="false" outlineLevel="0" collapsed="false">
      <c r="K3396" s="24" t="n">
        <f aca="false">IF(Search!$B$3="",0,IF($A3396="",N(K3395),IF(ISNUMBER(SEARCH(Search!$B$3,$A3396&amp;"")),N(K3395)+1,N(K3395))))</f>
        <v>0</v>
      </c>
    </row>
    <row r="3397" customFormat="false" ht="15" hidden="false" customHeight="false" outlineLevel="0" collapsed="false">
      <c r="K3397" s="24" t="n">
        <f aca="false">IF(Search!$B$3="",0,IF($A3397="",N(K3396),IF(ISNUMBER(SEARCH(Search!$B$3,$A3397&amp;"")),N(K3396)+1,N(K3396))))</f>
        <v>0</v>
      </c>
    </row>
    <row r="3398" customFormat="false" ht="15" hidden="false" customHeight="false" outlineLevel="0" collapsed="false">
      <c r="K3398" s="24" t="n">
        <f aca="false">IF(Search!$B$3="",0,IF($A3398="",N(K3397),IF(ISNUMBER(SEARCH(Search!$B$3,$A3398&amp;"")),N(K3397)+1,N(K3397))))</f>
        <v>0</v>
      </c>
    </row>
    <row r="3399" customFormat="false" ht="15" hidden="false" customHeight="false" outlineLevel="0" collapsed="false">
      <c r="K3399" s="24" t="n">
        <f aca="false">IF(Search!$B$3="",0,IF($A3399="",N(K3398),IF(ISNUMBER(SEARCH(Search!$B$3,$A3399&amp;"")),N(K3398)+1,N(K3398))))</f>
        <v>0</v>
      </c>
    </row>
    <row r="3400" customFormat="false" ht="15" hidden="false" customHeight="false" outlineLevel="0" collapsed="false">
      <c r="K3400" s="24" t="n">
        <f aca="false">IF(Search!$B$3="",0,IF($A3400="",N(K3399),IF(ISNUMBER(SEARCH(Search!$B$3,$A3400&amp;"")),N(K3399)+1,N(K3399))))</f>
        <v>0</v>
      </c>
    </row>
    <row r="3401" customFormat="false" ht="15" hidden="false" customHeight="false" outlineLevel="0" collapsed="false">
      <c r="K3401" s="24" t="n">
        <f aca="false">IF(Search!$B$3="",0,IF($A3401="",N(K3400),IF(ISNUMBER(SEARCH(Search!$B$3,$A3401&amp;"")),N(K3400)+1,N(K3400))))</f>
        <v>0</v>
      </c>
    </row>
    <row r="3402" customFormat="false" ht="15" hidden="false" customHeight="false" outlineLevel="0" collapsed="false">
      <c r="K3402" s="24" t="n">
        <f aca="false">IF(Search!$B$3="",0,IF($A3402="",N(K3401),IF(ISNUMBER(SEARCH(Search!$B$3,$A3402&amp;"")),N(K3401)+1,N(K3401))))</f>
        <v>0</v>
      </c>
    </row>
    <row r="3403" customFormat="false" ht="15" hidden="false" customHeight="false" outlineLevel="0" collapsed="false">
      <c r="K3403" s="24" t="n">
        <f aca="false">IF(Search!$B$3="",0,IF($A3403="",N(K3402),IF(ISNUMBER(SEARCH(Search!$B$3,$A3403&amp;"")),N(K3402)+1,N(K3402))))</f>
        <v>0</v>
      </c>
    </row>
    <row r="3404" customFormat="false" ht="15" hidden="false" customHeight="false" outlineLevel="0" collapsed="false">
      <c r="K3404" s="24" t="n">
        <f aca="false">IF(Search!$B$3="",0,IF($A3404="",N(K3403),IF(ISNUMBER(SEARCH(Search!$B$3,$A3404&amp;"")),N(K3403)+1,N(K3403))))</f>
        <v>0</v>
      </c>
    </row>
    <row r="3405" customFormat="false" ht="15" hidden="false" customHeight="false" outlineLevel="0" collapsed="false">
      <c r="K3405" s="24" t="n">
        <f aca="false">IF(Search!$B$3="",0,IF($A3405="",N(K3404),IF(ISNUMBER(SEARCH(Search!$B$3,$A3405&amp;"")),N(K3404)+1,N(K3404))))</f>
        <v>0</v>
      </c>
    </row>
    <row r="3406" customFormat="false" ht="15" hidden="false" customHeight="false" outlineLevel="0" collapsed="false">
      <c r="K3406" s="24" t="n">
        <f aca="false">IF(Search!$B$3="",0,IF($A3406="",N(K3405),IF(ISNUMBER(SEARCH(Search!$B$3,$A3406&amp;"")),N(K3405)+1,N(K3405))))</f>
        <v>0</v>
      </c>
    </row>
    <row r="3407" customFormat="false" ht="15" hidden="false" customHeight="false" outlineLevel="0" collapsed="false">
      <c r="K3407" s="24" t="n">
        <f aca="false">IF(Search!$B$3="",0,IF($A3407="",N(K3406),IF(ISNUMBER(SEARCH(Search!$B$3,$A3407&amp;"")),N(K3406)+1,N(K3406))))</f>
        <v>0</v>
      </c>
    </row>
    <row r="3408" customFormat="false" ht="15" hidden="false" customHeight="false" outlineLevel="0" collapsed="false">
      <c r="K3408" s="24" t="n">
        <f aca="false">IF(Search!$B$3="",0,IF($A3408="",N(K3407),IF(ISNUMBER(SEARCH(Search!$B$3,$A3408&amp;"")),N(K3407)+1,N(K3407))))</f>
        <v>0</v>
      </c>
    </row>
    <row r="3409" customFormat="false" ht="15" hidden="false" customHeight="false" outlineLevel="0" collapsed="false">
      <c r="K3409" s="24" t="n">
        <f aca="false">IF(Search!$B$3="",0,IF($A3409="",N(K3408),IF(ISNUMBER(SEARCH(Search!$B$3,$A3409&amp;"")),N(K3408)+1,N(K3408))))</f>
        <v>0</v>
      </c>
    </row>
    <row r="3410" customFormat="false" ht="15" hidden="false" customHeight="false" outlineLevel="0" collapsed="false">
      <c r="K3410" s="24" t="n">
        <f aca="false">IF(Search!$B$3="",0,IF($A3410="",N(K3409),IF(ISNUMBER(SEARCH(Search!$B$3,$A3410&amp;"")),N(K3409)+1,N(K3409))))</f>
        <v>0</v>
      </c>
    </row>
    <row r="3411" customFormat="false" ht="15" hidden="false" customHeight="false" outlineLevel="0" collapsed="false">
      <c r="K3411" s="24" t="n">
        <f aca="false">IF(Search!$B$3="",0,IF($A3411="",N(K3410),IF(ISNUMBER(SEARCH(Search!$B$3,$A3411&amp;"")),N(K3410)+1,N(K3410))))</f>
        <v>0</v>
      </c>
    </row>
    <row r="3412" customFormat="false" ht="15" hidden="false" customHeight="false" outlineLevel="0" collapsed="false">
      <c r="K3412" s="24" t="n">
        <f aca="false">IF(Search!$B$3="",0,IF($A3412="",N(K3411),IF(ISNUMBER(SEARCH(Search!$B$3,$A3412&amp;"")),N(K3411)+1,N(K3411))))</f>
        <v>0</v>
      </c>
    </row>
    <row r="3413" customFormat="false" ht="15" hidden="false" customHeight="false" outlineLevel="0" collapsed="false">
      <c r="K3413" s="24" t="n">
        <f aca="false">IF(Search!$B$3="",0,IF($A3413="",N(K3412),IF(ISNUMBER(SEARCH(Search!$B$3,$A3413&amp;"")),N(K3412)+1,N(K3412))))</f>
        <v>0</v>
      </c>
    </row>
    <row r="3414" customFormat="false" ht="15" hidden="false" customHeight="false" outlineLevel="0" collapsed="false">
      <c r="K3414" s="24" t="n">
        <f aca="false">IF(Search!$B$3="",0,IF($A3414="",N(K3413),IF(ISNUMBER(SEARCH(Search!$B$3,$A3414&amp;"")),N(K3413)+1,N(K3413))))</f>
        <v>0</v>
      </c>
    </row>
    <row r="3415" customFormat="false" ht="15" hidden="false" customHeight="false" outlineLevel="0" collapsed="false">
      <c r="K3415" s="24" t="n">
        <f aca="false">IF(Search!$B$3="",0,IF($A3415="",N(K3414),IF(ISNUMBER(SEARCH(Search!$B$3,$A3415&amp;"")),N(K3414)+1,N(K3414))))</f>
        <v>0</v>
      </c>
    </row>
    <row r="3416" customFormat="false" ht="15" hidden="false" customHeight="false" outlineLevel="0" collapsed="false">
      <c r="K3416" s="24" t="n">
        <f aca="false">IF(Search!$B$3="",0,IF($A3416="",N(K3415),IF(ISNUMBER(SEARCH(Search!$B$3,$A3416&amp;"")),N(K3415)+1,N(K3415))))</f>
        <v>0</v>
      </c>
    </row>
    <row r="3417" customFormat="false" ht="15" hidden="false" customHeight="false" outlineLevel="0" collapsed="false">
      <c r="K3417" s="24" t="n">
        <f aca="false">IF(Search!$B$3="",0,IF($A3417="",N(K3416),IF(ISNUMBER(SEARCH(Search!$B$3,$A3417&amp;"")),N(K3416)+1,N(K3416))))</f>
        <v>0</v>
      </c>
    </row>
    <row r="3418" customFormat="false" ht="15" hidden="false" customHeight="false" outlineLevel="0" collapsed="false">
      <c r="K3418" s="24" t="n">
        <f aca="false">IF(Search!$B$3="",0,IF($A3418="",N(K3417),IF(ISNUMBER(SEARCH(Search!$B$3,$A3418&amp;"")),N(K3417)+1,N(K3417))))</f>
        <v>0</v>
      </c>
    </row>
    <row r="3419" customFormat="false" ht="15" hidden="false" customHeight="false" outlineLevel="0" collapsed="false">
      <c r="K3419" s="24" t="n">
        <f aca="false">IF(Search!$B$3="",0,IF($A3419="",N(K3418),IF(ISNUMBER(SEARCH(Search!$B$3,$A3419&amp;"")),N(K3418)+1,N(K3418))))</f>
        <v>0</v>
      </c>
    </row>
    <row r="3420" customFormat="false" ht="15" hidden="false" customHeight="false" outlineLevel="0" collapsed="false">
      <c r="K3420" s="24" t="n">
        <f aca="false">IF(Search!$B$3="",0,IF($A3420="",N(K3419),IF(ISNUMBER(SEARCH(Search!$B$3,$A3420&amp;"")),N(K3419)+1,N(K3419))))</f>
        <v>0</v>
      </c>
    </row>
    <row r="3421" customFormat="false" ht="15" hidden="false" customHeight="false" outlineLevel="0" collapsed="false">
      <c r="K3421" s="24" t="n">
        <f aca="false">IF(Search!$B$3="",0,IF($A3421="",N(K3420),IF(ISNUMBER(SEARCH(Search!$B$3,$A3421&amp;"")),N(K3420)+1,N(K3420))))</f>
        <v>0</v>
      </c>
    </row>
    <row r="3422" customFormat="false" ht="15" hidden="false" customHeight="false" outlineLevel="0" collapsed="false">
      <c r="K3422" s="24" t="n">
        <f aca="false">IF(Search!$B$3="",0,IF($A3422="",N(K3421),IF(ISNUMBER(SEARCH(Search!$B$3,$A3422&amp;"")),N(K3421)+1,N(K3421))))</f>
        <v>0</v>
      </c>
    </row>
    <row r="3423" customFormat="false" ht="15" hidden="false" customHeight="false" outlineLevel="0" collapsed="false">
      <c r="K3423" s="24" t="n">
        <f aca="false">IF(Search!$B$3="",0,IF($A3423="",N(K3422),IF(ISNUMBER(SEARCH(Search!$B$3,$A3423&amp;"")),N(K3422)+1,N(K3422))))</f>
        <v>0</v>
      </c>
    </row>
    <row r="3424" customFormat="false" ht="15" hidden="false" customHeight="false" outlineLevel="0" collapsed="false">
      <c r="K3424" s="24" t="n">
        <f aca="false">IF(Search!$B$3="",0,IF($A3424="",N(K3423),IF(ISNUMBER(SEARCH(Search!$B$3,$A3424&amp;"")),N(K3423)+1,N(K3423))))</f>
        <v>0</v>
      </c>
    </row>
    <row r="3425" customFormat="false" ht="15" hidden="false" customHeight="false" outlineLevel="0" collapsed="false">
      <c r="K3425" s="24" t="n">
        <f aca="false">IF(Search!$B$3="",0,IF($A3425="",N(K3424),IF(ISNUMBER(SEARCH(Search!$B$3,$A3425&amp;"")),N(K3424)+1,N(K3424))))</f>
        <v>0</v>
      </c>
    </row>
    <row r="3426" customFormat="false" ht="15" hidden="false" customHeight="false" outlineLevel="0" collapsed="false">
      <c r="K3426" s="24" t="n">
        <f aca="false">IF(Search!$B$3="",0,IF($A3426="",N(K3425),IF(ISNUMBER(SEARCH(Search!$B$3,$A3426&amp;"")),N(K3425)+1,N(K3425))))</f>
        <v>0</v>
      </c>
    </row>
    <row r="3427" customFormat="false" ht="15" hidden="false" customHeight="false" outlineLevel="0" collapsed="false">
      <c r="K3427" s="24" t="n">
        <f aca="false">IF(Search!$B$3="",0,IF($A3427="",N(K3426),IF(ISNUMBER(SEARCH(Search!$B$3,$A3427&amp;"")),N(K3426)+1,N(K3426))))</f>
        <v>0</v>
      </c>
    </row>
    <row r="3428" customFormat="false" ht="15" hidden="false" customHeight="false" outlineLevel="0" collapsed="false">
      <c r="K3428" s="24" t="n">
        <f aca="false">IF(Search!$B$3="",0,IF($A3428="",N(K3427),IF(ISNUMBER(SEARCH(Search!$B$3,$A3428&amp;"")),N(K3427)+1,N(K3427))))</f>
        <v>0</v>
      </c>
    </row>
    <row r="3429" customFormat="false" ht="15" hidden="false" customHeight="false" outlineLevel="0" collapsed="false">
      <c r="K3429" s="24" t="n">
        <f aca="false">IF(Search!$B$3="",0,IF($A3429="",N(K3428),IF(ISNUMBER(SEARCH(Search!$B$3,$A3429&amp;"")),N(K3428)+1,N(K3428))))</f>
        <v>0</v>
      </c>
    </row>
    <row r="3430" customFormat="false" ht="15" hidden="false" customHeight="false" outlineLevel="0" collapsed="false">
      <c r="K3430" s="24" t="n">
        <f aca="false">IF(Search!$B$3="",0,IF($A3430="",N(K3429),IF(ISNUMBER(SEARCH(Search!$B$3,$A3430&amp;"")),N(K3429)+1,N(K3429))))</f>
        <v>0</v>
      </c>
    </row>
    <row r="3431" customFormat="false" ht="15" hidden="false" customHeight="false" outlineLevel="0" collapsed="false">
      <c r="K3431" s="24" t="n">
        <f aca="false">IF(Search!$B$3="",0,IF($A3431="",N(K3430),IF(ISNUMBER(SEARCH(Search!$B$3,$A3431&amp;"")),N(K3430)+1,N(K3430))))</f>
        <v>0</v>
      </c>
    </row>
    <row r="3432" customFormat="false" ht="15" hidden="false" customHeight="false" outlineLevel="0" collapsed="false">
      <c r="K3432" s="24" t="n">
        <f aca="false">IF(Search!$B$3="",0,IF($A3432="",N(K3431),IF(ISNUMBER(SEARCH(Search!$B$3,$A3432&amp;"")),N(K3431)+1,N(K3431))))</f>
        <v>0</v>
      </c>
    </row>
    <row r="3433" customFormat="false" ht="15" hidden="false" customHeight="false" outlineLevel="0" collapsed="false">
      <c r="K3433" s="24" t="n">
        <f aca="false">IF(Search!$B$3="",0,IF($A3433="",N(K3432),IF(ISNUMBER(SEARCH(Search!$B$3,$A3433&amp;"")),N(K3432)+1,N(K3432))))</f>
        <v>0</v>
      </c>
    </row>
    <row r="3434" customFormat="false" ht="15" hidden="false" customHeight="false" outlineLevel="0" collapsed="false">
      <c r="K3434" s="24" t="n">
        <f aca="false">IF(Search!$B$3="",0,IF($A3434="",N(K3433),IF(ISNUMBER(SEARCH(Search!$B$3,$A3434&amp;"")),N(K3433)+1,N(K3433))))</f>
        <v>0</v>
      </c>
    </row>
    <row r="3435" customFormat="false" ht="15" hidden="false" customHeight="false" outlineLevel="0" collapsed="false">
      <c r="K3435" s="24" t="n">
        <f aca="false">IF(Search!$B$3="",0,IF($A3435="",N(K3434),IF(ISNUMBER(SEARCH(Search!$B$3,$A3435&amp;"")),N(K3434)+1,N(K3434))))</f>
        <v>0</v>
      </c>
    </row>
    <row r="3436" customFormat="false" ht="15" hidden="false" customHeight="false" outlineLevel="0" collapsed="false">
      <c r="K3436" s="24" t="n">
        <f aca="false">IF(Search!$B$3="",0,IF($A3436="",N(K3435),IF(ISNUMBER(SEARCH(Search!$B$3,$A3436&amp;"")),N(K3435)+1,N(K3435))))</f>
        <v>0</v>
      </c>
    </row>
    <row r="3437" customFormat="false" ht="15" hidden="false" customHeight="false" outlineLevel="0" collapsed="false">
      <c r="K3437" s="24" t="n">
        <f aca="false">IF(Search!$B$3="",0,IF($A3437="",N(K3436),IF(ISNUMBER(SEARCH(Search!$B$3,$A3437&amp;"")),N(K3436)+1,N(K3436))))</f>
        <v>0</v>
      </c>
    </row>
    <row r="3438" customFormat="false" ht="15" hidden="false" customHeight="false" outlineLevel="0" collapsed="false">
      <c r="K3438" s="24" t="n">
        <f aca="false">IF(Search!$B$3="",0,IF($A3438="",N(K3437),IF(ISNUMBER(SEARCH(Search!$B$3,$A3438&amp;"")),N(K3437)+1,N(K3437))))</f>
        <v>0</v>
      </c>
    </row>
    <row r="3439" customFormat="false" ht="15" hidden="false" customHeight="false" outlineLevel="0" collapsed="false">
      <c r="K3439" s="24" t="n">
        <f aca="false">IF(Search!$B$3="",0,IF($A3439="",N(K3438),IF(ISNUMBER(SEARCH(Search!$B$3,$A3439&amp;"")),N(K3438)+1,N(K3438))))</f>
        <v>0</v>
      </c>
    </row>
    <row r="3440" customFormat="false" ht="15" hidden="false" customHeight="false" outlineLevel="0" collapsed="false">
      <c r="K3440" s="24" t="n">
        <f aca="false">IF(Search!$B$3="",0,IF($A3440="",N(K3439),IF(ISNUMBER(SEARCH(Search!$B$3,$A3440&amp;"")),N(K3439)+1,N(K3439))))</f>
        <v>0</v>
      </c>
    </row>
    <row r="3441" customFormat="false" ht="15" hidden="false" customHeight="false" outlineLevel="0" collapsed="false">
      <c r="K3441" s="24" t="n">
        <f aca="false">IF(Search!$B$3="",0,IF($A3441="",N(K3440),IF(ISNUMBER(SEARCH(Search!$B$3,$A3441&amp;"")),N(K3440)+1,N(K3440))))</f>
        <v>0</v>
      </c>
    </row>
    <row r="3442" customFormat="false" ht="15" hidden="false" customHeight="false" outlineLevel="0" collapsed="false">
      <c r="K3442" s="24" t="n">
        <f aca="false">IF(Search!$B$3="",0,IF($A3442="",N(K3441),IF(ISNUMBER(SEARCH(Search!$B$3,$A3442&amp;"")),N(K3441)+1,N(K3441))))</f>
        <v>0</v>
      </c>
    </row>
    <row r="3443" customFormat="false" ht="15" hidden="false" customHeight="false" outlineLevel="0" collapsed="false">
      <c r="K3443" s="24" t="n">
        <f aca="false">IF(Search!$B$3="",0,IF($A3443="",N(K3442),IF(ISNUMBER(SEARCH(Search!$B$3,$A3443&amp;"")),N(K3442)+1,N(K3442))))</f>
        <v>0</v>
      </c>
    </row>
    <row r="3444" customFormat="false" ht="15" hidden="false" customHeight="false" outlineLevel="0" collapsed="false">
      <c r="K3444" s="24" t="n">
        <f aca="false">IF(Search!$B$3="",0,IF($A3444="",N(K3443),IF(ISNUMBER(SEARCH(Search!$B$3,$A3444&amp;"")),N(K3443)+1,N(K3443))))</f>
        <v>0</v>
      </c>
    </row>
    <row r="3445" customFormat="false" ht="15" hidden="false" customHeight="false" outlineLevel="0" collapsed="false">
      <c r="K3445" s="24" t="n">
        <f aca="false">IF(Search!$B$3="",0,IF($A3445="",N(K3444),IF(ISNUMBER(SEARCH(Search!$B$3,$A3445&amp;"")),N(K3444)+1,N(K3444))))</f>
        <v>0</v>
      </c>
    </row>
    <row r="3446" customFormat="false" ht="15" hidden="false" customHeight="false" outlineLevel="0" collapsed="false">
      <c r="K3446" s="24" t="n">
        <f aca="false">IF(Search!$B$3="",0,IF($A3446="",N(K3445),IF(ISNUMBER(SEARCH(Search!$B$3,$A3446&amp;"")),N(K3445)+1,N(K3445))))</f>
        <v>0</v>
      </c>
    </row>
    <row r="3447" customFormat="false" ht="15" hidden="false" customHeight="false" outlineLevel="0" collapsed="false">
      <c r="K3447" s="24" t="n">
        <f aca="false">IF(Search!$B$3="",0,IF($A3447="",N(K3446),IF(ISNUMBER(SEARCH(Search!$B$3,$A3447&amp;"")),N(K3446)+1,N(K3446))))</f>
        <v>0</v>
      </c>
    </row>
    <row r="3448" customFormat="false" ht="15" hidden="false" customHeight="false" outlineLevel="0" collapsed="false">
      <c r="K3448" s="24" t="n">
        <f aca="false">IF(Search!$B$3="",0,IF($A3448="",N(K3447),IF(ISNUMBER(SEARCH(Search!$B$3,$A3448&amp;"")),N(K3447)+1,N(K3447))))</f>
        <v>0</v>
      </c>
    </row>
    <row r="3449" customFormat="false" ht="15" hidden="false" customHeight="false" outlineLevel="0" collapsed="false">
      <c r="K3449" s="24" t="n">
        <f aca="false">IF(Search!$B$3="",0,IF($A3449="",N(K3448),IF(ISNUMBER(SEARCH(Search!$B$3,$A3449&amp;"")),N(K3448)+1,N(K3448))))</f>
        <v>0</v>
      </c>
    </row>
    <row r="3450" customFormat="false" ht="15" hidden="false" customHeight="false" outlineLevel="0" collapsed="false">
      <c r="K3450" s="24" t="n">
        <f aca="false">IF(Search!$B$3="",0,IF($A3450="",N(K3449),IF(ISNUMBER(SEARCH(Search!$B$3,$A3450&amp;"")),N(K3449)+1,N(K3449))))</f>
        <v>0</v>
      </c>
    </row>
    <row r="3451" customFormat="false" ht="15" hidden="false" customHeight="false" outlineLevel="0" collapsed="false">
      <c r="K3451" s="24" t="n">
        <f aca="false">IF(Search!$B$3="",0,IF($A3451="",N(K3450),IF(ISNUMBER(SEARCH(Search!$B$3,$A3451&amp;"")),N(K3450)+1,N(K3450))))</f>
        <v>0</v>
      </c>
    </row>
    <row r="3452" customFormat="false" ht="15" hidden="false" customHeight="false" outlineLevel="0" collapsed="false">
      <c r="K3452" s="24" t="n">
        <f aca="false">IF(Search!$B$3="",0,IF($A3452="",N(K3451),IF(ISNUMBER(SEARCH(Search!$B$3,$A3452&amp;"")),N(K3451)+1,N(K3451))))</f>
        <v>0</v>
      </c>
    </row>
    <row r="3453" customFormat="false" ht="15" hidden="false" customHeight="false" outlineLevel="0" collapsed="false">
      <c r="K3453" s="24" t="n">
        <f aca="false">IF(Search!$B$3="",0,IF($A3453="",N(K3452),IF(ISNUMBER(SEARCH(Search!$B$3,$A3453&amp;"")),N(K3452)+1,N(K3452))))</f>
        <v>0</v>
      </c>
    </row>
    <row r="3454" customFormat="false" ht="15" hidden="false" customHeight="false" outlineLevel="0" collapsed="false">
      <c r="K3454" s="24" t="n">
        <f aca="false">IF(Search!$B$3="",0,IF($A3454="",N(K3453),IF(ISNUMBER(SEARCH(Search!$B$3,$A3454&amp;"")),N(K3453)+1,N(K3453))))</f>
        <v>0</v>
      </c>
    </row>
    <row r="3455" customFormat="false" ht="15" hidden="false" customHeight="false" outlineLevel="0" collapsed="false">
      <c r="K3455" s="24" t="n">
        <f aca="false">IF(Search!$B$3="",0,IF($A3455="",N(K3454),IF(ISNUMBER(SEARCH(Search!$B$3,$A3455&amp;"")),N(K3454)+1,N(K3454))))</f>
        <v>0</v>
      </c>
    </row>
    <row r="3456" customFormat="false" ht="15" hidden="false" customHeight="false" outlineLevel="0" collapsed="false">
      <c r="K3456" s="24" t="n">
        <f aca="false">IF(Search!$B$3="",0,IF($A3456="",N(K3455),IF(ISNUMBER(SEARCH(Search!$B$3,$A3456&amp;"")),N(K3455)+1,N(K3455))))</f>
        <v>0</v>
      </c>
    </row>
    <row r="3457" customFormat="false" ht="15" hidden="false" customHeight="false" outlineLevel="0" collapsed="false">
      <c r="K3457" s="24" t="n">
        <f aca="false">IF(Search!$B$3="",0,IF($A3457="",N(K3456),IF(ISNUMBER(SEARCH(Search!$B$3,$A3457&amp;"")),N(K3456)+1,N(K3456))))</f>
        <v>0</v>
      </c>
    </row>
    <row r="3458" customFormat="false" ht="15" hidden="false" customHeight="false" outlineLevel="0" collapsed="false">
      <c r="K3458" s="24" t="n">
        <f aca="false">IF(Search!$B$3="",0,IF($A3458="",N(K3457),IF(ISNUMBER(SEARCH(Search!$B$3,$A3458&amp;"")),N(K3457)+1,N(K3457))))</f>
        <v>0</v>
      </c>
    </row>
    <row r="3459" customFormat="false" ht="15" hidden="false" customHeight="false" outlineLevel="0" collapsed="false">
      <c r="K3459" s="24" t="n">
        <f aca="false">IF(Search!$B$3="",0,IF($A3459="",N(K3458),IF(ISNUMBER(SEARCH(Search!$B$3,$A3459&amp;"")),N(K3458)+1,N(K3458))))</f>
        <v>0</v>
      </c>
    </row>
    <row r="3460" customFormat="false" ht="15" hidden="false" customHeight="false" outlineLevel="0" collapsed="false">
      <c r="K3460" s="24" t="n">
        <f aca="false">IF(Search!$B$3="",0,IF($A3460="",N(K3459),IF(ISNUMBER(SEARCH(Search!$B$3,$A3460&amp;"")),N(K3459)+1,N(K3459))))</f>
        <v>0</v>
      </c>
    </row>
    <row r="3461" customFormat="false" ht="15" hidden="false" customHeight="false" outlineLevel="0" collapsed="false">
      <c r="K3461" s="24" t="n">
        <f aca="false">IF(Search!$B$3="",0,IF($A3461="",N(K3460),IF(ISNUMBER(SEARCH(Search!$B$3,$A3461&amp;"")),N(K3460)+1,N(K3460))))</f>
        <v>0</v>
      </c>
    </row>
    <row r="3462" customFormat="false" ht="15" hidden="false" customHeight="false" outlineLevel="0" collapsed="false">
      <c r="K3462" s="24" t="n">
        <f aca="false">IF(Search!$B$3="",0,IF($A3462="",N(K3461),IF(ISNUMBER(SEARCH(Search!$B$3,$A3462&amp;"")),N(K3461)+1,N(K3461))))</f>
        <v>0</v>
      </c>
    </row>
    <row r="3463" customFormat="false" ht="15" hidden="false" customHeight="false" outlineLevel="0" collapsed="false">
      <c r="K3463" s="24" t="n">
        <f aca="false">IF(Search!$B$3="",0,IF($A3463="",N(K3462),IF(ISNUMBER(SEARCH(Search!$B$3,$A3463&amp;"")),N(K3462)+1,N(K3462))))</f>
        <v>0</v>
      </c>
    </row>
    <row r="3464" customFormat="false" ht="15" hidden="false" customHeight="false" outlineLevel="0" collapsed="false">
      <c r="K3464" s="24" t="n">
        <f aca="false">IF(Search!$B$3="",0,IF($A3464="",N(K3463),IF(ISNUMBER(SEARCH(Search!$B$3,$A3464&amp;"")),N(K3463)+1,N(K3463))))</f>
        <v>0</v>
      </c>
    </row>
    <row r="3465" customFormat="false" ht="15" hidden="false" customHeight="false" outlineLevel="0" collapsed="false">
      <c r="K3465" s="24" t="n">
        <f aca="false">IF(Search!$B$3="",0,IF($A3465="",N(K3464),IF(ISNUMBER(SEARCH(Search!$B$3,$A3465&amp;"")),N(K3464)+1,N(K3464))))</f>
        <v>0</v>
      </c>
    </row>
    <row r="3466" customFormat="false" ht="15" hidden="false" customHeight="false" outlineLevel="0" collapsed="false">
      <c r="K3466" s="24" t="n">
        <f aca="false">IF(Search!$B$3="",0,IF($A3466="",N(K3465),IF(ISNUMBER(SEARCH(Search!$B$3,$A3466&amp;"")),N(K3465)+1,N(K3465))))</f>
        <v>0</v>
      </c>
    </row>
    <row r="3467" customFormat="false" ht="15" hidden="false" customHeight="false" outlineLevel="0" collapsed="false">
      <c r="K3467" s="24" t="n">
        <f aca="false">IF(Search!$B$3="",0,IF($A3467="",N(K3466),IF(ISNUMBER(SEARCH(Search!$B$3,$A3467&amp;"")),N(K3466)+1,N(K3466))))</f>
        <v>0</v>
      </c>
    </row>
    <row r="3468" customFormat="false" ht="15" hidden="false" customHeight="false" outlineLevel="0" collapsed="false">
      <c r="K3468" s="24" t="n">
        <f aca="false">IF(Search!$B$3="",0,IF($A3468="",N(K3467),IF(ISNUMBER(SEARCH(Search!$B$3,$A3468&amp;"")),N(K3467)+1,N(K3467))))</f>
        <v>0</v>
      </c>
    </row>
    <row r="3469" customFormat="false" ht="15" hidden="false" customHeight="false" outlineLevel="0" collapsed="false">
      <c r="K3469" s="24" t="n">
        <f aca="false">IF(Search!$B$3="",0,IF($A3469="",N(K3468),IF(ISNUMBER(SEARCH(Search!$B$3,$A3469&amp;"")),N(K3468)+1,N(K3468))))</f>
        <v>0</v>
      </c>
    </row>
    <row r="3470" customFormat="false" ht="15" hidden="false" customHeight="false" outlineLevel="0" collapsed="false">
      <c r="K3470" s="24" t="n">
        <f aca="false">IF(Search!$B$3="",0,IF($A3470="",N(K3469),IF(ISNUMBER(SEARCH(Search!$B$3,$A3470&amp;"")),N(K3469)+1,N(K3469))))</f>
        <v>0</v>
      </c>
    </row>
    <row r="3471" customFormat="false" ht="15" hidden="false" customHeight="false" outlineLevel="0" collapsed="false">
      <c r="K3471" s="24" t="n">
        <f aca="false">IF(Search!$B$3="",0,IF($A3471="",N(K3470),IF(ISNUMBER(SEARCH(Search!$B$3,$A3471&amp;"")),N(K3470)+1,N(K3470))))</f>
        <v>0</v>
      </c>
    </row>
    <row r="3472" customFormat="false" ht="15" hidden="false" customHeight="false" outlineLevel="0" collapsed="false">
      <c r="K3472" s="24" t="n">
        <f aca="false">IF(Search!$B$3="",0,IF($A3472="",N(K3471),IF(ISNUMBER(SEARCH(Search!$B$3,$A3472&amp;"")),N(K3471)+1,N(K3471))))</f>
        <v>0</v>
      </c>
    </row>
    <row r="3473" customFormat="false" ht="15" hidden="false" customHeight="false" outlineLevel="0" collapsed="false">
      <c r="K3473" s="24" t="n">
        <f aca="false">IF(Search!$B$3="",0,IF($A3473="",N(K3472),IF(ISNUMBER(SEARCH(Search!$B$3,$A3473&amp;"")),N(K3472)+1,N(K3472))))</f>
        <v>0</v>
      </c>
    </row>
    <row r="3474" customFormat="false" ht="15" hidden="false" customHeight="false" outlineLevel="0" collapsed="false">
      <c r="K3474" s="24" t="n">
        <f aca="false">IF(Search!$B$3="",0,IF($A3474="",N(K3473),IF(ISNUMBER(SEARCH(Search!$B$3,$A3474&amp;"")),N(K3473)+1,N(K3473))))</f>
        <v>0</v>
      </c>
    </row>
    <row r="3475" customFormat="false" ht="15" hidden="false" customHeight="false" outlineLevel="0" collapsed="false">
      <c r="K3475" s="24" t="n">
        <f aca="false">IF(Search!$B$3="",0,IF($A3475="",N(K3474),IF(ISNUMBER(SEARCH(Search!$B$3,$A3475&amp;"")),N(K3474)+1,N(K3474))))</f>
        <v>0</v>
      </c>
    </row>
    <row r="3476" customFormat="false" ht="15" hidden="false" customHeight="false" outlineLevel="0" collapsed="false">
      <c r="K3476" s="24" t="n">
        <f aca="false">IF(Search!$B$3="",0,IF($A3476="",N(K3475),IF(ISNUMBER(SEARCH(Search!$B$3,$A3476&amp;"")),N(K3475)+1,N(K3475))))</f>
        <v>0</v>
      </c>
    </row>
    <row r="3477" customFormat="false" ht="15" hidden="false" customHeight="false" outlineLevel="0" collapsed="false">
      <c r="K3477" s="24" t="n">
        <f aca="false">IF(Search!$B$3="",0,IF($A3477="",N(K3476),IF(ISNUMBER(SEARCH(Search!$B$3,$A3477&amp;"")),N(K3476)+1,N(K3476))))</f>
        <v>0</v>
      </c>
    </row>
    <row r="3478" customFormat="false" ht="15" hidden="false" customHeight="false" outlineLevel="0" collapsed="false">
      <c r="K3478" s="24" t="n">
        <f aca="false">IF(Search!$B$3="",0,IF($A3478="",N(K3477),IF(ISNUMBER(SEARCH(Search!$B$3,$A3478&amp;"")),N(K3477)+1,N(K3477))))</f>
        <v>0</v>
      </c>
    </row>
    <row r="3479" customFormat="false" ht="15" hidden="false" customHeight="false" outlineLevel="0" collapsed="false">
      <c r="K3479" s="24" t="n">
        <f aca="false">IF(Search!$B$3="",0,IF($A3479="",N(K3478),IF(ISNUMBER(SEARCH(Search!$B$3,$A3479&amp;"")),N(K3478)+1,N(K3478))))</f>
        <v>0</v>
      </c>
    </row>
    <row r="3480" customFormat="false" ht="15" hidden="false" customHeight="false" outlineLevel="0" collapsed="false">
      <c r="K3480" s="24" t="n">
        <f aca="false">IF(Search!$B$3="",0,IF($A3480="",N(K3479),IF(ISNUMBER(SEARCH(Search!$B$3,$A3480&amp;"")),N(K3479)+1,N(K3479))))</f>
        <v>0</v>
      </c>
    </row>
    <row r="3481" customFormat="false" ht="15" hidden="false" customHeight="false" outlineLevel="0" collapsed="false">
      <c r="K3481" s="24" t="n">
        <f aca="false">IF(Search!$B$3="",0,IF($A3481="",N(K3480),IF(ISNUMBER(SEARCH(Search!$B$3,$A3481&amp;"")),N(K3480)+1,N(K3480))))</f>
        <v>0</v>
      </c>
    </row>
    <row r="3482" customFormat="false" ht="15" hidden="false" customHeight="false" outlineLevel="0" collapsed="false">
      <c r="K3482" s="24" t="n">
        <f aca="false">IF(Search!$B$3="",0,IF($A3482="",N(K3481),IF(ISNUMBER(SEARCH(Search!$B$3,$A3482&amp;"")),N(K3481)+1,N(K3481))))</f>
        <v>0</v>
      </c>
    </row>
    <row r="3483" customFormat="false" ht="15" hidden="false" customHeight="false" outlineLevel="0" collapsed="false">
      <c r="K3483" s="24" t="n">
        <f aca="false">IF(Search!$B$3="",0,IF($A3483="",N(K3482),IF(ISNUMBER(SEARCH(Search!$B$3,$A3483&amp;"")),N(K3482)+1,N(K3482))))</f>
        <v>0</v>
      </c>
    </row>
    <row r="3484" customFormat="false" ht="15" hidden="false" customHeight="false" outlineLevel="0" collapsed="false">
      <c r="K3484" s="24" t="n">
        <f aca="false">IF(Search!$B$3="",0,IF($A3484="",N(K3483),IF(ISNUMBER(SEARCH(Search!$B$3,$A3484&amp;"")),N(K3483)+1,N(K3483))))</f>
        <v>0</v>
      </c>
    </row>
    <row r="3485" customFormat="false" ht="15" hidden="false" customHeight="false" outlineLevel="0" collapsed="false">
      <c r="K3485" s="24" t="n">
        <f aca="false">IF(Search!$B$3="",0,IF($A3485="",N(K3484),IF(ISNUMBER(SEARCH(Search!$B$3,$A3485&amp;"")),N(K3484)+1,N(K3484))))</f>
        <v>0</v>
      </c>
    </row>
    <row r="3486" customFormat="false" ht="15" hidden="false" customHeight="false" outlineLevel="0" collapsed="false">
      <c r="K3486" s="24" t="n">
        <f aca="false">IF(Search!$B$3="",0,IF($A3486="",N(K3485),IF(ISNUMBER(SEARCH(Search!$B$3,$A3486&amp;"")),N(K3485)+1,N(K3485))))</f>
        <v>0</v>
      </c>
    </row>
    <row r="3487" customFormat="false" ht="15" hidden="false" customHeight="false" outlineLevel="0" collapsed="false">
      <c r="K3487" s="24" t="n">
        <f aca="false">IF(Search!$B$3="",0,IF($A3487="",N(K3486),IF(ISNUMBER(SEARCH(Search!$B$3,$A3487&amp;"")),N(K3486)+1,N(K3486))))</f>
        <v>0</v>
      </c>
    </row>
    <row r="3488" customFormat="false" ht="15" hidden="false" customHeight="false" outlineLevel="0" collapsed="false">
      <c r="K3488" s="24" t="n">
        <f aca="false">IF(Search!$B$3="",0,IF($A3488="",N(K3487),IF(ISNUMBER(SEARCH(Search!$B$3,$A3488&amp;"")),N(K3487)+1,N(K3487))))</f>
        <v>0</v>
      </c>
    </row>
    <row r="3489" customFormat="false" ht="15" hidden="false" customHeight="false" outlineLevel="0" collapsed="false">
      <c r="K3489" s="24" t="n">
        <f aca="false">IF(Search!$B$3="",0,IF($A3489="",N(K3488),IF(ISNUMBER(SEARCH(Search!$B$3,$A3489&amp;"")),N(K3488)+1,N(K3488))))</f>
        <v>0</v>
      </c>
    </row>
    <row r="3490" customFormat="false" ht="15" hidden="false" customHeight="false" outlineLevel="0" collapsed="false">
      <c r="K3490" s="24" t="n">
        <f aca="false">IF(Search!$B$3="",0,IF($A3490="",N(K3489),IF(ISNUMBER(SEARCH(Search!$B$3,$A3490&amp;"")),N(K3489)+1,N(K3489))))</f>
        <v>0</v>
      </c>
    </row>
    <row r="3491" customFormat="false" ht="15" hidden="false" customHeight="false" outlineLevel="0" collapsed="false">
      <c r="K3491" s="24" t="n">
        <f aca="false">IF(Search!$B$3="",0,IF($A3491="",N(K3490),IF(ISNUMBER(SEARCH(Search!$B$3,$A3491&amp;"")),N(K3490)+1,N(K3490))))</f>
        <v>0</v>
      </c>
    </row>
    <row r="3492" customFormat="false" ht="15" hidden="false" customHeight="false" outlineLevel="0" collapsed="false">
      <c r="K3492" s="24" t="n">
        <f aca="false">IF(Search!$B$3="",0,IF($A3492="",N(K3491),IF(ISNUMBER(SEARCH(Search!$B$3,$A3492&amp;"")),N(K3491)+1,N(K3491))))</f>
        <v>0</v>
      </c>
    </row>
    <row r="3493" customFormat="false" ht="15" hidden="false" customHeight="false" outlineLevel="0" collapsed="false">
      <c r="K3493" s="24" t="n">
        <f aca="false">IF(Search!$B$3="",0,IF($A3493="",N(K3492),IF(ISNUMBER(SEARCH(Search!$B$3,$A3493&amp;"")),N(K3492)+1,N(K3492))))</f>
        <v>0</v>
      </c>
    </row>
    <row r="3494" customFormat="false" ht="15" hidden="false" customHeight="false" outlineLevel="0" collapsed="false">
      <c r="K3494" s="24" t="n">
        <f aca="false">IF(Search!$B$3="",0,IF($A3494="",N(K3493),IF(ISNUMBER(SEARCH(Search!$B$3,$A3494&amp;"")),N(K3493)+1,N(K3493))))</f>
        <v>0</v>
      </c>
    </row>
    <row r="3495" customFormat="false" ht="15" hidden="false" customHeight="false" outlineLevel="0" collapsed="false">
      <c r="K3495" s="24" t="n">
        <f aca="false">IF(Search!$B$3="",0,IF($A3495="",N(K3494),IF(ISNUMBER(SEARCH(Search!$B$3,$A3495&amp;"")),N(K3494)+1,N(K3494))))</f>
        <v>0</v>
      </c>
    </row>
    <row r="3496" customFormat="false" ht="15" hidden="false" customHeight="false" outlineLevel="0" collapsed="false">
      <c r="K3496" s="24" t="n">
        <f aca="false">IF(Search!$B$3="",0,IF($A3496="",N(K3495),IF(ISNUMBER(SEARCH(Search!$B$3,$A3496&amp;"")),N(K3495)+1,N(K3495))))</f>
        <v>0</v>
      </c>
    </row>
    <row r="3497" customFormat="false" ht="15" hidden="false" customHeight="false" outlineLevel="0" collapsed="false">
      <c r="K3497" s="24" t="n">
        <f aca="false">IF(Search!$B$3="",0,IF($A3497="",N(K3496),IF(ISNUMBER(SEARCH(Search!$B$3,$A3497&amp;"")),N(K3496)+1,N(K3496))))</f>
        <v>0</v>
      </c>
    </row>
    <row r="3498" customFormat="false" ht="15" hidden="false" customHeight="false" outlineLevel="0" collapsed="false">
      <c r="K3498" s="24" t="n">
        <f aca="false">IF(Search!$B$3="",0,IF($A3498="",N(K3497),IF(ISNUMBER(SEARCH(Search!$B$3,$A3498&amp;"")),N(K3497)+1,N(K3497))))</f>
        <v>0</v>
      </c>
    </row>
    <row r="3499" customFormat="false" ht="15" hidden="false" customHeight="false" outlineLevel="0" collapsed="false">
      <c r="K3499" s="24" t="n">
        <f aca="false">IF(Search!$B$3="",0,IF($A3499="",N(K3498),IF(ISNUMBER(SEARCH(Search!$B$3,$A3499&amp;"")),N(K3498)+1,N(K3498))))</f>
        <v>0</v>
      </c>
    </row>
    <row r="3500" customFormat="false" ht="15" hidden="false" customHeight="false" outlineLevel="0" collapsed="false">
      <c r="K3500" s="24" t="n">
        <f aca="false">IF(Search!$B$3="",0,IF($A3500="",N(K3499),IF(ISNUMBER(SEARCH(Search!$B$3,$A3500&amp;"")),N(K3499)+1,N(K3499))))</f>
        <v>0</v>
      </c>
    </row>
    <row r="3501" customFormat="false" ht="15" hidden="false" customHeight="false" outlineLevel="0" collapsed="false">
      <c r="K3501" s="24" t="n">
        <f aca="false">IF(Search!$B$3="",0,IF($A3501="",N(K3500),IF(ISNUMBER(SEARCH(Search!$B$3,$A3501&amp;"")),N(K3500)+1,N(K3500))))</f>
        <v>0</v>
      </c>
    </row>
    <row r="3502" customFormat="false" ht="15" hidden="false" customHeight="false" outlineLevel="0" collapsed="false">
      <c r="K3502" s="24" t="n">
        <f aca="false">IF(Search!$B$3="",0,IF($A3502="",N(K3501),IF(ISNUMBER(SEARCH(Search!$B$3,$A3502&amp;"")),N(K3501)+1,N(K3501))))</f>
        <v>0</v>
      </c>
    </row>
    <row r="3503" customFormat="false" ht="15" hidden="false" customHeight="false" outlineLevel="0" collapsed="false">
      <c r="K3503" s="24" t="n">
        <f aca="false">IF(Search!$B$3="",0,IF($A3503="",N(K3502),IF(ISNUMBER(SEARCH(Search!$B$3,$A3503&amp;"")),N(K3502)+1,N(K3502))))</f>
        <v>0</v>
      </c>
    </row>
    <row r="3504" customFormat="false" ht="15" hidden="false" customHeight="false" outlineLevel="0" collapsed="false">
      <c r="K3504" s="24" t="n">
        <f aca="false">IF(Search!$B$3="",0,IF($A3504="",N(K3503),IF(ISNUMBER(SEARCH(Search!$B$3,$A3504&amp;"")),N(K3503)+1,N(K3503))))</f>
        <v>0</v>
      </c>
    </row>
    <row r="3505" customFormat="false" ht="15" hidden="false" customHeight="false" outlineLevel="0" collapsed="false">
      <c r="K3505" s="24" t="n">
        <f aca="false">IF(Search!$B$3="",0,IF($A3505="",N(K3504),IF(ISNUMBER(SEARCH(Search!$B$3,$A3505&amp;"")),N(K3504)+1,N(K3504))))</f>
        <v>0</v>
      </c>
    </row>
    <row r="3506" customFormat="false" ht="15" hidden="false" customHeight="false" outlineLevel="0" collapsed="false">
      <c r="K3506" s="24" t="n">
        <f aca="false">IF(Search!$B$3="",0,IF($A3506="",N(K3505),IF(ISNUMBER(SEARCH(Search!$B$3,$A3506&amp;"")),N(K3505)+1,N(K3505))))</f>
        <v>0</v>
      </c>
    </row>
    <row r="3507" customFormat="false" ht="15" hidden="false" customHeight="false" outlineLevel="0" collapsed="false">
      <c r="K3507" s="24" t="n">
        <f aca="false">IF(Search!$B$3="",0,IF($A3507="",N(K3506),IF(ISNUMBER(SEARCH(Search!$B$3,$A3507&amp;"")),N(K3506)+1,N(K3506))))</f>
        <v>0</v>
      </c>
    </row>
    <row r="3508" customFormat="false" ht="15" hidden="false" customHeight="false" outlineLevel="0" collapsed="false">
      <c r="K3508" s="24" t="n">
        <f aca="false">IF(Search!$B$3="",0,IF($A3508="",N(K3507),IF(ISNUMBER(SEARCH(Search!$B$3,$A3508&amp;"")),N(K3507)+1,N(K3507))))</f>
        <v>0</v>
      </c>
    </row>
    <row r="3509" customFormat="false" ht="15" hidden="false" customHeight="false" outlineLevel="0" collapsed="false">
      <c r="K3509" s="24" t="n">
        <f aca="false">IF(Search!$B$3="",0,IF($A3509="",N(K3508),IF(ISNUMBER(SEARCH(Search!$B$3,$A3509&amp;"")),N(K3508)+1,N(K3508))))</f>
        <v>0</v>
      </c>
    </row>
    <row r="3510" customFormat="false" ht="15" hidden="false" customHeight="false" outlineLevel="0" collapsed="false">
      <c r="K3510" s="24" t="n">
        <f aca="false">IF(Search!$B$3="",0,IF($A3510="",N(K3509),IF(ISNUMBER(SEARCH(Search!$B$3,$A3510&amp;"")),N(K3509)+1,N(K3509))))</f>
        <v>0</v>
      </c>
    </row>
    <row r="3511" customFormat="false" ht="15" hidden="false" customHeight="false" outlineLevel="0" collapsed="false">
      <c r="K3511" s="24" t="n">
        <f aca="false">IF(Search!$B$3="",0,IF($A3511="",N(K3510),IF(ISNUMBER(SEARCH(Search!$B$3,$A3511&amp;"")),N(K3510)+1,N(K3510))))</f>
        <v>0</v>
      </c>
    </row>
    <row r="3512" customFormat="false" ht="15" hidden="false" customHeight="false" outlineLevel="0" collapsed="false">
      <c r="K3512" s="24" t="n">
        <f aca="false">IF(Search!$B$3="",0,IF($A3512="",N(K3511),IF(ISNUMBER(SEARCH(Search!$B$3,$A3512&amp;"")),N(K3511)+1,N(K3511))))</f>
        <v>0</v>
      </c>
    </row>
    <row r="3513" customFormat="false" ht="15" hidden="false" customHeight="false" outlineLevel="0" collapsed="false">
      <c r="K3513" s="24" t="n">
        <f aca="false">IF(Search!$B$3="",0,IF($A3513="",N(K3512),IF(ISNUMBER(SEARCH(Search!$B$3,$A3513&amp;"")),N(K3512)+1,N(K3512))))</f>
        <v>0</v>
      </c>
    </row>
    <row r="3514" customFormat="false" ht="15" hidden="false" customHeight="false" outlineLevel="0" collapsed="false">
      <c r="K3514" s="24" t="n">
        <f aca="false">IF(Search!$B$3="",0,IF($A3514="",N(K3513),IF(ISNUMBER(SEARCH(Search!$B$3,$A3514&amp;"")),N(K3513)+1,N(K3513))))</f>
        <v>0</v>
      </c>
    </row>
    <row r="3515" customFormat="false" ht="15" hidden="false" customHeight="false" outlineLevel="0" collapsed="false">
      <c r="K3515" s="24" t="n">
        <f aca="false">IF(Search!$B$3="",0,IF($A3515="",N(K3514),IF(ISNUMBER(SEARCH(Search!$B$3,$A3515&amp;"")),N(K3514)+1,N(K3514))))</f>
        <v>0</v>
      </c>
    </row>
    <row r="3516" customFormat="false" ht="15" hidden="false" customHeight="false" outlineLevel="0" collapsed="false">
      <c r="K3516" s="24" t="n">
        <f aca="false">IF(Search!$B$3="",0,IF($A3516="",N(K3515),IF(ISNUMBER(SEARCH(Search!$B$3,$A3516&amp;"")),N(K3515)+1,N(K3515))))</f>
        <v>0</v>
      </c>
    </row>
    <row r="3517" customFormat="false" ht="15" hidden="false" customHeight="false" outlineLevel="0" collapsed="false">
      <c r="K3517" s="24" t="n">
        <f aca="false">IF(Search!$B$3="",0,IF($A3517="",N(K3516),IF(ISNUMBER(SEARCH(Search!$B$3,$A3517&amp;"")),N(K3516)+1,N(K3516))))</f>
        <v>0</v>
      </c>
    </row>
    <row r="3518" customFormat="false" ht="15" hidden="false" customHeight="false" outlineLevel="0" collapsed="false">
      <c r="K3518" s="24" t="n">
        <f aca="false">IF(Search!$B$3="",0,IF($A3518="",N(K3517),IF(ISNUMBER(SEARCH(Search!$B$3,$A3518&amp;"")),N(K3517)+1,N(K3517))))</f>
        <v>0</v>
      </c>
    </row>
    <row r="3519" customFormat="false" ht="15" hidden="false" customHeight="false" outlineLevel="0" collapsed="false">
      <c r="K3519" s="24" t="n">
        <f aca="false">IF(Search!$B$3="",0,IF($A3519="",N(K3518),IF(ISNUMBER(SEARCH(Search!$B$3,$A3519&amp;"")),N(K3518)+1,N(K3518))))</f>
        <v>0</v>
      </c>
    </row>
    <row r="3520" customFormat="false" ht="15" hidden="false" customHeight="false" outlineLevel="0" collapsed="false">
      <c r="K3520" s="24" t="n">
        <f aca="false">IF(Search!$B$3="",0,IF($A3520="",N(K3519),IF(ISNUMBER(SEARCH(Search!$B$3,$A3520&amp;"")),N(K3519)+1,N(K3519))))</f>
        <v>0</v>
      </c>
    </row>
    <row r="3521" customFormat="false" ht="15" hidden="false" customHeight="false" outlineLevel="0" collapsed="false">
      <c r="K3521" s="24" t="n">
        <f aca="false">IF(Search!$B$3="",0,IF($A3521="",N(K3520),IF(ISNUMBER(SEARCH(Search!$B$3,$A3521&amp;"")),N(K3520)+1,N(K3520))))</f>
        <v>0</v>
      </c>
    </row>
    <row r="3522" customFormat="false" ht="15" hidden="false" customHeight="false" outlineLevel="0" collapsed="false">
      <c r="K3522" s="24" t="n">
        <f aca="false">IF(Search!$B$3="",0,IF($A3522="",N(K3521),IF(ISNUMBER(SEARCH(Search!$B$3,$A3522&amp;"")),N(K3521)+1,N(K3521))))</f>
        <v>0</v>
      </c>
    </row>
    <row r="3523" customFormat="false" ht="15" hidden="false" customHeight="false" outlineLevel="0" collapsed="false">
      <c r="K3523" s="24" t="n">
        <f aca="false">IF(Search!$B$3="",0,IF($A3523="",N(K3522),IF(ISNUMBER(SEARCH(Search!$B$3,$A3523&amp;"")),N(K3522)+1,N(K3522))))</f>
        <v>0</v>
      </c>
    </row>
    <row r="3524" customFormat="false" ht="15" hidden="false" customHeight="false" outlineLevel="0" collapsed="false">
      <c r="K3524" s="24" t="n">
        <f aca="false">IF(Search!$B$3="",0,IF($A3524="",N(K3523),IF(ISNUMBER(SEARCH(Search!$B$3,$A3524&amp;"")),N(K3523)+1,N(K3523))))</f>
        <v>0</v>
      </c>
    </row>
    <row r="3525" customFormat="false" ht="15" hidden="false" customHeight="false" outlineLevel="0" collapsed="false">
      <c r="K3525" s="24" t="n">
        <f aca="false">IF(Search!$B$3="",0,IF($A3525="",N(K3524),IF(ISNUMBER(SEARCH(Search!$B$3,$A3525&amp;"")),N(K3524)+1,N(K3524))))</f>
        <v>0</v>
      </c>
    </row>
    <row r="3526" customFormat="false" ht="15" hidden="false" customHeight="false" outlineLevel="0" collapsed="false">
      <c r="K3526" s="24" t="n">
        <f aca="false">IF(Search!$B$3="",0,IF($A3526="",N(K3525),IF(ISNUMBER(SEARCH(Search!$B$3,$A3526&amp;"")),N(K3525)+1,N(K3525))))</f>
        <v>0</v>
      </c>
    </row>
    <row r="3527" customFormat="false" ht="15" hidden="false" customHeight="false" outlineLevel="0" collapsed="false">
      <c r="K3527" s="24" t="n">
        <f aca="false">IF(Search!$B$3="",0,IF($A3527="",N(K3526),IF(ISNUMBER(SEARCH(Search!$B$3,$A3527&amp;"")),N(K3526)+1,N(K3526))))</f>
        <v>0</v>
      </c>
    </row>
    <row r="3528" customFormat="false" ht="15" hidden="false" customHeight="false" outlineLevel="0" collapsed="false">
      <c r="K3528" s="24" t="n">
        <f aca="false">IF(Search!$B$3="",0,IF($A3528="",N(K3527),IF(ISNUMBER(SEARCH(Search!$B$3,$A3528&amp;"")),N(K3527)+1,N(K3527))))</f>
        <v>0</v>
      </c>
    </row>
    <row r="3529" customFormat="false" ht="15" hidden="false" customHeight="false" outlineLevel="0" collapsed="false">
      <c r="K3529" s="24" t="n">
        <f aca="false">IF(Search!$B$3="",0,IF($A3529="",N(K3528),IF(ISNUMBER(SEARCH(Search!$B$3,$A3529&amp;"")),N(K3528)+1,N(K3528))))</f>
        <v>0</v>
      </c>
    </row>
    <row r="3530" customFormat="false" ht="15" hidden="false" customHeight="false" outlineLevel="0" collapsed="false">
      <c r="K3530" s="24" t="n">
        <f aca="false">IF(Search!$B$3="",0,IF($A3530="",N(K3529),IF(ISNUMBER(SEARCH(Search!$B$3,$A3530&amp;"")),N(K3529)+1,N(K3529))))</f>
        <v>0</v>
      </c>
    </row>
    <row r="3531" customFormat="false" ht="15" hidden="false" customHeight="false" outlineLevel="0" collapsed="false">
      <c r="K3531" s="24" t="n">
        <f aca="false">IF(Search!$B$3="",0,IF($A3531="",N(K3530),IF(ISNUMBER(SEARCH(Search!$B$3,$A3531&amp;"")),N(K3530)+1,N(K3530))))</f>
        <v>0</v>
      </c>
    </row>
    <row r="3532" customFormat="false" ht="15" hidden="false" customHeight="false" outlineLevel="0" collapsed="false">
      <c r="K3532" s="24" t="n">
        <f aca="false">IF(Search!$B$3="",0,IF($A3532="",N(K3531),IF(ISNUMBER(SEARCH(Search!$B$3,$A3532&amp;"")),N(K3531)+1,N(K3531))))</f>
        <v>0</v>
      </c>
    </row>
    <row r="3533" customFormat="false" ht="15" hidden="false" customHeight="false" outlineLevel="0" collapsed="false">
      <c r="K3533" s="24" t="n">
        <f aca="false">IF(Search!$B$3="",0,IF($A3533="",N(K3532),IF(ISNUMBER(SEARCH(Search!$B$3,$A3533&amp;"")),N(K3532)+1,N(K3532))))</f>
        <v>0</v>
      </c>
    </row>
    <row r="3534" customFormat="false" ht="15" hidden="false" customHeight="false" outlineLevel="0" collapsed="false">
      <c r="K3534" s="24" t="n">
        <f aca="false">IF(Search!$B$3="",0,IF($A3534="",N(K3533),IF(ISNUMBER(SEARCH(Search!$B$3,$A3534&amp;"")),N(K3533)+1,N(K3533))))</f>
        <v>0</v>
      </c>
    </row>
    <row r="3535" customFormat="false" ht="15" hidden="false" customHeight="false" outlineLevel="0" collapsed="false">
      <c r="K3535" s="24" t="n">
        <f aca="false">IF(Search!$B$3="",0,IF($A3535="",N(K3534),IF(ISNUMBER(SEARCH(Search!$B$3,$A3535&amp;"")),N(K3534)+1,N(K3534))))</f>
        <v>0</v>
      </c>
    </row>
    <row r="3536" customFormat="false" ht="15" hidden="false" customHeight="false" outlineLevel="0" collapsed="false">
      <c r="K3536" s="24" t="n">
        <f aca="false">IF(Search!$B$3="",0,IF($A3536="",N(K3535),IF(ISNUMBER(SEARCH(Search!$B$3,$A3536&amp;"")),N(K3535)+1,N(K3535))))</f>
        <v>0</v>
      </c>
    </row>
    <row r="3537" customFormat="false" ht="15" hidden="false" customHeight="false" outlineLevel="0" collapsed="false">
      <c r="K3537" s="24" t="n">
        <f aca="false">IF(Search!$B$3="",0,IF($A3537="",N(K3536),IF(ISNUMBER(SEARCH(Search!$B$3,$A3537&amp;"")),N(K3536)+1,N(K3536))))</f>
        <v>0</v>
      </c>
    </row>
    <row r="3538" customFormat="false" ht="15" hidden="false" customHeight="false" outlineLevel="0" collapsed="false">
      <c r="K3538" s="24" t="n">
        <f aca="false">IF(Search!$B$3="",0,IF($A3538="",N(K3537),IF(ISNUMBER(SEARCH(Search!$B$3,$A3538&amp;"")),N(K3537)+1,N(K3537))))</f>
        <v>0</v>
      </c>
    </row>
    <row r="3539" customFormat="false" ht="15" hidden="false" customHeight="false" outlineLevel="0" collapsed="false">
      <c r="K3539" s="24" t="n">
        <f aca="false">IF(Search!$B$3="",0,IF($A3539="",N(K3538),IF(ISNUMBER(SEARCH(Search!$B$3,$A3539&amp;"")),N(K3538)+1,N(K3538))))</f>
        <v>0</v>
      </c>
    </row>
    <row r="3540" customFormat="false" ht="15" hidden="false" customHeight="false" outlineLevel="0" collapsed="false">
      <c r="K3540" s="24" t="n">
        <f aca="false">IF(Search!$B$3="",0,IF($A3540="",N(K3539),IF(ISNUMBER(SEARCH(Search!$B$3,$A3540&amp;"")),N(K3539)+1,N(K3539))))</f>
        <v>0</v>
      </c>
    </row>
    <row r="3541" customFormat="false" ht="15" hidden="false" customHeight="false" outlineLevel="0" collapsed="false">
      <c r="K3541" s="24" t="n">
        <f aca="false">IF(Search!$B$3="",0,IF($A3541="",N(K3540),IF(ISNUMBER(SEARCH(Search!$B$3,$A3541&amp;"")),N(K3540)+1,N(K3540))))</f>
        <v>0</v>
      </c>
    </row>
    <row r="3542" customFormat="false" ht="15" hidden="false" customHeight="false" outlineLevel="0" collapsed="false">
      <c r="K3542" s="24" t="n">
        <f aca="false">IF(Search!$B$3="",0,IF($A3542="",N(K3541),IF(ISNUMBER(SEARCH(Search!$B$3,$A3542&amp;"")),N(K3541)+1,N(K3541))))</f>
        <v>0</v>
      </c>
    </row>
    <row r="3543" customFormat="false" ht="15" hidden="false" customHeight="false" outlineLevel="0" collapsed="false">
      <c r="K3543" s="24" t="n">
        <f aca="false">IF(Search!$B$3="",0,IF($A3543="",N(K3542),IF(ISNUMBER(SEARCH(Search!$B$3,$A3543&amp;"")),N(K3542)+1,N(K3542))))</f>
        <v>0</v>
      </c>
    </row>
    <row r="3544" customFormat="false" ht="15" hidden="false" customHeight="false" outlineLevel="0" collapsed="false">
      <c r="K3544" s="24" t="n">
        <f aca="false">IF(Search!$B$3="",0,IF($A3544="",N(K3543),IF(ISNUMBER(SEARCH(Search!$B$3,$A3544&amp;"")),N(K3543)+1,N(K3543))))</f>
        <v>0</v>
      </c>
    </row>
    <row r="3545" customFormat="false" ht="15" hidden="false" customHeight="false" outlineLevel="0" collapsed="false">
      <c r="K3545" s="24" t="n">
        <f aca="false">IF(Search!$B$3="",0,IF($A3545="",N(K3544),IF(ISNUMBER(SEARCH(Search!$B$3,$A3545&amp;"")),N(K3544)+1,N(K3544))))</f>
        <v>0</v>
      </c>
    </row>
    <row r="3546" customFormat="false" ht="15" hidden="false" customHeight="false" outlineLevel="0" collapsed="false">
      <c r="K3546" s="24" t="n">
        <f aca="false">IF(Search!$B$3="",0,IF($A3546="",N(K3545),IF(ISNUMBER(SEARCH(Search!$B$3,$A3546&amp;"")),N(K3545)+1,N(K3545))))</f>
        <v>0</v>
      </c>
    </row>
    <row r="3547" customFormat="false" ht="15" hidden="false" customHeight="false" outlineLevel="0" collapsed="false">
      <c r="K3547" s="24" t="n">
        <f aca="false">IF(Search!$B$3="",0,IF($A3547="",N(K3546),IF(ISNUMBER(SEARCH(Search!$B$3,$A3547&amp;"")),N(K3546)+1,N(K3546))))</f>
        <v>0</v>
      </c>
    </row>
    <row r="3548" customFormat="false" ht="15" hidden="false" customHeight="false" outlineLevel="0" collapsed="false">
      <c r="K3548" s="24" t="n">
        <f aca="false">IF(Search!$B$3="",0,IF($A3548="",N(K3547),IF(ISNUMBER(SEARCH(Search!$B$3,$A3548&amp;"")),N(K3547)+1,N(K3547))))</f>
        <v>0</v>
      </c>
    </row>
    <row r="3549" customFormat="false" ht="15" hidden="false" customHeight="false" outlineLevel="0" collapsed="false">
      <c r="K3549" s="24" t="n">
        <f aca="false">IF(Search!$B$3="",0,IF($A3549="",N(K3548),IF(ISNUMBER(SEARCH(Search!$B$3,$A3549&amp;"")),N(K3548)+1,N(K3548))))</f>
        <v>0</v>
      </c>
    </row>
    <row r="3550" customFormat="false" ht="15" hidden="false" customHeight="false" outlineLevel="0" collapsed="false">
      <c r="K3550" s="24" t="n">
        <f aca="false">IF(Search!$B$3="",0,IF($A3550="",N(K3549),IF(ISNUMBER(SEARCH(Search!$B$3,$A3550&amp;"")),N(K3549)+1,N(K3549))))</f>
        <v>0</v>
      </c>
    </row>
    <row r="3551" customFormat="false" ht="15" hidden="false" customHeight="false" outlineLevel="0" collapsed="false">
      <c r="K3551" s="24" t="n">
        <f aca="false">IF(Search!$B$3="",0,IF($A3551="",N(K3550),IF(ISNUMBER(SEARCH(Search!$B$3,$A3551&amp;"")),N(K3550)+1,N(K3550))))</f>
        <v>0</v>
      </c>
    </row>
    <row r="3552" customFormat="false" ht="15" hidden="false" customHeight="false" outlineLevel="0" collapsed="false">
      <c r="K3552" s="24" t="n">
        <f aca="false">IF(Search!$B$3="",0,IF($A3552="",N(K3551),IF(ISNUMBER(SEARCH(Search!$B$3,$A3552&amp;"")),N(K3551)+1,N(K3551))))</f>
        <v>0</v>
      </c>
    </row>
    <row r="3553" customFormat="false" ht="15" hidden="false" customHeight="false" outlineLevel="0" collapsed="false">
      <c r="K3553" s="24" t="n">
        <f aca="false">IF(Search!$B$3="",0,IF($A3553="",N(K3552),IF(ISNUMBER(SEARCH(Search!$B$3,$A3553&amp;"")),N(K3552)+1,N(K3552))))</f>
        <v>0</v>
      </c>
    </row>
    <row r="3554" customFormat="false" ht="15" hidden="false" customHeight="false" outlineLevel="0" collapsed="false">
      <c r="K3554" s="24" t="n">
        <f aca="false">IF(Search!$B$3="",0,IF($A3554="",N(K3553),IF(ISNUMBER(SEARCH(Search!$B$3,$A3554&amp;"")),N(K3553)+1,N(K3553))))</f>
        <v>0</v>
      </c>
    </row>
    <row r="3555" customFormat="false" ht="15" hidden="false" customHeight="false" outlineLevel="0" collapsed="false">
      <c r="K3555" s="24" t="n">
        <f aca="false">IF(Search!$B$3="",0,IF($A3555="",N(K3554),IF(ISNUMBER(SEARCH(Search!$B$3,$A3555&amp;"")),N(K3554)+1,N(K3554))))</f>
        <v>0</v>
      </c>
    </row>
    <row r="3556" customFormat="false" ht="15" hidden="false" customHeight="false" outlineLevel="0" collapsed="false">
      <c r="K3556" s="24" t="n">
        <f aca="false">IF(Search!$B$3="",0,IF($A3556="",N(K3555),IF(ISNUMBER(SEARCH(Search!$B$3,$A3556&amp;"")),N(K3555)+1,N(K3555))))</f>
        <v>0</v>
      </c>
    </row>
    <row r="3557" customFormat="false" ht="15" hidden="false" customHeight="false" outlineLevel="0" collapsed="false">
      <c r="K3557" s="24" t="n">
        <f aca="false">IF(Search!$B$3="",0,IF($A3557="",N(K3556),IF(ISNUMBER(SEARCH(Search!$B$3,$A3557&amp;"")),N(K3556)+1,N(K3556))))</f>
        <v>0</v>
      </c>
    </row>
    <row r="3558" customFormat="false" ht="15" hidden="false" customHeight="false" outlineLevel="0" collapsed="false">
      <c r="K3558" s="24" t="n">
        <f aca="false">IF(Search!$B$3="",0,IF($A3558="",N(K3557),IF(ISNUMBER(SEARCH(Search!$B$3,$A3558&amp;"")),N(K3557)+1,N(K3557))))</f>
        <v>0</v>
      </c>
    </row>
    <row r="3559" customFormat="false" ht="15" hidden="false" customHeight="false" outlineLevel="0" collapsed="false">
      <c r="K3559" s="24" t="n">
        <f aca="false">IF(Search!$B$3="",0,IF($A3559="",N(K3558),IF(ISNUMBER(SEARCH(Search!$B$3,$A3559&amp;"")),N(K3558)+1,N(K3558))))</f>
        <v>0</v>
      </c>
    </row>
    <row r="3560" customFormat="false" ht="15" hidden="false" customHeight="false" outlineLevel="0" collapsed="false">
      <c r="K3560" s="24" t="n">
        <f aca="false">IF(Search!$B$3="",0,IF($A3560="",N(K3559),IF(ISNUMBER(SEARCH(Search!$B$3,$A3560&amp;"")),N(K3559)+1,N(K3559))))</f>
        <v>0</v>
      </c>
    </row>
    <row r="3561" customFormat="false" ht="15" hidden="false" customHeight="false" outlineLevel="0" collapsed="false">
      <c r="K3561" s="24" t="n">
        <f aca="false">IF(Search!$B$3="",0,IF($A3561="",N(K3560),IF(ISNUMBER(SEARCH(Search!$B$3,$A3561&amp;"")),N(K3560)+1,N(K3560))))</f>
        <v>0</v>
      </c>
    </row>
    <row r="3562" customFormat="false" ht="15" hidden="false" customHeight="false" outlineLevel="0" collapsed="false">
      <c r="K3562" s="24" t="n">
        <f aca="false">IF(Search!$B$3="",0,IF($A3562="",N(K3561),IF(ISNUMBER(SEARCH(Search!$B$3,$A3562&amp;"")),N(K3561)+1,N(K3561))))</f>
        <v>0</v>
      </c>
    </row>
    <row r="3563" customFormat="false" ht="15" hidden="false" customHeight="false" outlineLevel="0" collapsed="false">
      <c r="K3563" s="24" t="n">
        <f aca="false">IF(Search!$B$3="",0,IF($A3563="",N(K3562),IF(ISNUMBER(SEARCH(Search!$B$3,$A3563&amp;"")),N(K3562)+1,N(K3562))))</f>
        <v>0</v>
      </c>
    </row>
    <row r="3564" customFormat="false" ht="15" hidden="false" customHeight="false" outlineLevel="0" collapsed="false">
      <c r="K3564" s="24" t="n">
        <f aca="false">IF(Search!$B$3="",0,IF($A3564="",N(K3563),IF(ISNUMBER(SEARCH(Search!$B$3,$A3564&amp;"")),N(K3563)+1,N(K3563))))</f>
        <v>0</v>
      </c>
    </row>
    <row r="3565" customFormat="false" ht="15" hidden="false" customHeight="false" outlineLevel="0" collapsed="false">
      <c r="K3565" s="24" t="n">
        <f aca="false">IF(Search!$B$3="",0,IF($A3565="",N(K3564),IF(ISNUMBER(SEARCH(Search!$B$3,$A3565&amp;"")),N(K3564)+1,N(K3564))))</f>
        <v>0</v>
      </c>
    </row>
    <row r="3566" customFormat="false" ht="15" hidden="false" customHeight="false" outlineLevel="0" collapsed="false">
      <c r="K3566" s="24" t="n">
        <f aca="false">IF(Search!$B$3="",0,IF($A3566="",N(K3565),IF(ISNUMBER(SEARCH(Search!$B$3,$A3566&amp;"")),N(K3565)+1,N(K3565))))</f>
        <v>0</v>
      </c>
    </row>
    <row r="3567" customFormat="false" ht="15" hidden="false" customHeight="false" outlineLevel="0" collapsed="false">
      <c r="K3567" s="24" t="n">
        <f aca="false">IF(Search!$B$3="",0,IF($A3567="",N(K3566),IF(ISNUMBER(SEARCH(Search!$B$3,$A3567&amp;"")),N(K3566)+1,N(K3566))))</f>
        <v>0</v>
      </c>
    </row>
    <row r="3568" customFormat="false" ht="15" hidden="false" customHeight="false" outlineLevel="0" collapsed="false">
      <c r="K3568" s="24" t="n">
        <f aca="false">IF(Search!$B$3="",0,IF($A3568="",N(K3567),IF(ISNUMBER(SEARCH(Search!$B$3,$A3568&amp;"")),N(K3567)+1,N(K3567))))</f>
        <v>0</v>
      </c>
    </row>
    <row r="3569" customFormat="false" ht="15" hidden="false" customHeight="false" outlineLevel="0" collapsed="false">
      <c r="K3569" s="24" t="n">
        <f aca="false">IF(Search!$B$3="",0,IF($A3569="",N(K3568),IF(ISNUMBER(SEARCH(Search!$B$3,$A3569&amp;"")),N(K3568)+1,N(K3568))))</f>
        <v>0</v>
      </c>
    </row>
    <row r="3570" customFormat="false" ht="15" hidden="false" customHeight="false" outlineLevel="0" collapsed="false">
      <c r="K3570" s="24" t="n">
        <f aca="false">IF(Search!$B$3="",0,IF($A3570="",N(K3569),IF(ISNUMBER(SEARCH(Search!$B$3,$A3570&amp;"")),N(K3569)+1,N(K3569))))</f>
        <v>0</v>
      </c>
    </row>
    <row r="3571" customFormat="false" ht="15" hidden="false" customHeight="false" outlineLevel="0" collapsed="false">
      <c r="K3571" s="24" t="n">
        <f aca="false">IF(Search!$B$3="",0,IF($A3571="",N(K3570),IF(ISNUMBER(SEARCH(Search!$B$3,$A3571&amp;"")),N(K3570)+1,N(K3570))))</f>
        <v>0</v>
      </c>
    </row>
    <row r="3572" customFormat="false" ht="15" hidden="false" customHeight="false" outlineLevel="0" collapsed="false">
      <c r="K3572" s="24" t="n">
        <f aca="false">IF(Search!$B$3="",0,IF($A3572="",N(K3571),IF(ISNUMBER(SEARCH(Search!$B$3,$A3572&amp;"")),N(K3571)+1,N(K3571))))</f>
        <v>0</v>
      </c>
    </row>
    <row r="3573" customFormat="false" ht="15" hidden="false" customHeight="false" outlineLevel="0" collapsed="false">
      <c r="K3573" s="24" t="n">
        <f aca="false">IF(Search!$B$3="",0,IF($A3573="",N(K3572),IF(ISNUMBER(SEARCH(Search!$B$3,$A3573&amp;"")),N(K3572)+1,N(K3572))))</f>
        <v>0</v>
      </c>
    </row>
    <row r="3574" customFormat="false" ht="15" hidden="false" customHeight="false" outlineLevel="0" collapsed="false">
      <c r="K3574" s="24" t="n">
        <f aca="false">IF(Search!$B$3="",0,IF($A3574="",N(K3573),IF(ISNUMBER(SEARCH(Search!$B$3,$A3574&amp;"")),N(K3573)+1,N(K3573))))</f>
        <v>0</v>
      </c>
    </row>
    <row r="3575" customFormat="false" ht="15" hidden="false" customHeight="false" outlineLevel="0" collapsed="false">
      <c r="K3575" s="24" t="n">
        <f aca="false">IF(Search!$B$3="",0,IF($A3575="",N(K3574),IF(ISNUMBER(SEARCH(Search!$B$3,$A3575&amp;"")),N(K3574)+1,N(K3574))))</f>
        <v>0</v>
      </c>
    </row>
    <row r="3576" customFormat="false" ht="15" hidden="false" customHeight="false" outlineLevel="0" collapsed="false">
      <c r="K3576" s="24" t="n">
        <f aca="false">IF(Search!$B$3="",0,IF($A3576="",N(K3575),IF(ISNUMBER(SEARCH(Search!$B$3,$A3576&amp;"")),N(K3575)+1,N(K3575))))</f>
        <v>0</v>
      </c>
    </row>
    <row r="3577" customFormat="false" ht="15" hidden="false" customHeight="false" outlineLevel="0" collapsed="false">
      <c r="K3577" s="24" t="n">
        <f aca="false">IF(Search!$B$3="",0,IF($A3577="",N(K3576),IF(ISNUMBER(SEARCH(Search!$B$3,$A3577&amp;"")),N(K3576)+1,N(K3576))))</f>
        <v>0</v>
      </c>
    </row>
    <row r="3578" customFormat="false" ht="15" hidden="false" customHeight="false" outlineLevel="0" collapsed="false">
      <c r="K3578" s="24" t="n">
        <f aca="false">IF(Search!$B$3="",0,IF($A3578="",N(K3577),IF(ISNUMBER(SEARCH(Search!$B$3,$A3578&amp;"")),N(K3577)+1,N(K3577))))</f>
        <v>0</v>
      </c>
    </row>
    <row r="3579" customFormat="false" ht="15" hidden="false" customHeight="false" outlineLevel="0" collapsed="false">
      <c r="K3579" s="24" t="n">
        <f aca="false">IF(Search!$B$3="",0,IF($A3579="",N(K3578),IF(ISNUMBER(SEARCH(Search!$B$3,$A3579&amp;"")),N(K3578)+1,N(K3578))))</f>
        <v>0</v>
      </c>
    </row>
    <row r="3580" customFormat="false" ht="15" hidden="false" customHeight="false" outlineLevel="0" collapsed="false">
      <c r="K3580" s="24" t="n">
        <f aca="false">IF(Search!$B$3="",0,IF($A3580="",N(K3579),IF(ISNUMBER(SEARCH(Search!$B$3,$A3580&amp;"")),N(K3579)+1,N(K3579))))</f>
        <v>0</v>
      </c>
    </row>
    <row r="3581" customFormat="false" ht="15" hidden="false" customHeight="false" outlineLevel="0" collapsed="false">
      <c r="K3581" s="24" t="n">
        <f aca="false">IF(Search!$B$3="",0,IF($A3581="",N(K3580),IF(ISNUMBER(SEARCH(Search!$B$3,$A3581&amp;"")),N(K3580)+1,N(K3580))))</f>
        <v>0</v>
      </c>
    </row>
    <row r="3582" customFormat="false" ht="15" hidden="false" customHeight="false" outlineLevel="0" collapsed="false">
      <c r="K3582" s="24" t="n">
        <f aca="false">IF(Search!$B$3="",0,IF($A3582="",N(K3581),IF(ISNUMBER(SEARCH(Search!$B$3,$A3582&amp;"")),N(K3581)+1,N(K3581))))</f>
        <v>0</v>
      </c>
    </row>
    <row r="3583" customFormat="false" ht="15" hidden="false" customHeight="false" outlineLevel="0" collapsed="false">
      <c r="K3583" s="24" t="n">
        <f aca="false">IF(Search!$B$3="",0,IF($A3583="",N(K3582),IF(ISNUMBER(SEARCH(Search!$B$3,$A3583&amp;"")),N(K3582)+1,N(K3582))))</f>
        <v>0</v>
      </c>
    </row>
    <row r="3584" customFormat="false" ht="15" hidden="false" customHeight="false" outlineLevel="0" collapsed="false">
      <c r="K3584" s="24" t="n">
        <f aca="false">IF(Search!$B$3="",0,IF($A3584="",N(K3583),IF(ISNUMBER(SEARCH(Search!$B$3,$A3584&amp;"")),N(K3583)+1,N(K3583))))</f>
        <v>0</v>
      </c>
    </row>
    <row r="3585" customFormat="false" ht="15" hidden="false" customHeight="false" outlineLevel="0" collapsed="false">
      <c r="K3585" s="24" t="n">
        <f aca="false">IF(Search!$B$3="",0,IF($A3585="",N(K3584),IF(ISNUMBER(SEARCH(Search!$B$3,$A3585&amp;"")),N(K3584)+1,N(K3584))))</f>
        <v>0</v>
      </c>
    </row>
    <row r="3586" customFormat="false" ht="15" hidden="false" customHeight="false" outlineLevel="0" collapsed="false">
      <c r="K3586" s="24" t="n">
        <f aca="false">IF(Search!$B$3="",0,IF($A3586="",N(K3585),IF(ISNUMBER(SEARCH(Search!$B$3,$A3586&amp;"")),N(K3585)+1,N(K3585))))</f>
        <v>0</v>
      </c>
    </row>
    <row r="3587" customFormat="false" ht="15" hidden="false" customHeight="false" outlineLevel="0" collapsed="false">
      <c r="K3587" s="24" t="n">
        <f aca="false">IF(Search!$B$3="",0,IF($A3587="",N(K3586),IF(ISNUMBER(SEARCH(Search!$B$3,$A3587&amp;"")),N(K3586)+1,N(K3586))))</f>
        <v>0</v>
      </c>
    </row>
    <row r="3588" customFormat="false" ht="15" hidden="false" customHeight="false" outlineLevel="0" collapsed="false">
      <c r="K3588" s="24" t="n">
        <f aca="false">IF(Search!$B$3="",0,IF($A3588="",N(K3587),IF(ISNUMBER(SEARCH(Search!$B$3,$A3588&amp;"")),N(K3587)+1,N(K3587))))</f>
        <v>0</v>
      </c>
    </row>
    <row r="3589" customFormat="false" ht="15" hidden="false" customHeight="false" outlineLevel="0" collapsed="false">
      <c r="K3589" s="24" t="n">
        <f aca="false">IF(Search!$B$3="",0,IF($A3589="",N(K3588),IF(ISNUMBER(SEARCH(Search!$B$3,$A3589&amp;"")),N(K3588)+1,N(K3588))))</f>
        <v>0</v>
      </c>
    </row>
    <row r="3590" customFormat="false" ht="15" hidden="false" customHeight="false" outlineLevel="0" collapsed="false">
      <c r="K3590" s="24" t="n">
        <f aca="false">IF(Search!$B$3="",0,IF($A3590="",N(K3589),IF(ISNUMBER(SEARCH(Search!$B$3,$A3590&amp;"")),N(K3589)+1,N(K3589))))</f>
        <v>0</v>
      </c>
    </row>
    <row r="3591" customFormat="false" ht="15" hidden="false" customHeight="false" outlineLevel="0" collapsed="false">
      <c r="K3591" s="24" t="n">
        <f aca="false">IF(Search!$B$3="",0,IF($A3591="",N(K3590),IF(ISNUMBER(SEARCH(Search!$B$3,$A3591&amp;"")),N(K3590)+1,N(K3590))))</f>
        <v>0</v>
      </c>
    </row>
    <row r="3592" customFormat="false" ht="15" hidden="false" customHeight="false" outlineLevel="0" collapsed="false">
      <c r="K3592" s="24" t="n">
        <f aca="false">IF(Search!$B$3="",0,IF($A3592="",N(K3591),IF(ISNUMBER(SEARCH(Search!$B$3,$A3592&amp;"")),N(K3591)+1,N(K3591))))</f>
        <v>0</v>
      </c>
    </row>
    <row r="3593" customFormat="false" ht="15" hidden="false" customHeight="false" outlineLevel="0" collapsed="false">
      <c r="K3593" s="24" t="n">
        <f aca="false">IF(Search!$B$3="",0,IF($A3593="",N(K3592),IF(ISNUMBER(SEARCH(Search!$B$3,$A3593&amp;"")),N(K3592)+1,N(K3592))))</f>
        <v>0</v>
      </c>
    </row>
    <row r="3594" customFormat="false" ht="15" hidden="false" customHeight="false" outlineLevel="0" collapsed="false">
      <c r="K3594" s="24" t="n">
        <f aca="false">IF(Search!$B$3="",0,IF($A3594="",N(K3593),IF(ISNUMBER(SEARCH(Search!$B$3,$A3594&amp;"")),N(K3593)+1,N(K3593))))</f>
        <v>0</v>
      </c>
    </row>
    <row r="3595" customFormat="false" ht="15" hidden="false" customHeight="false" outlineLevel="0" collapsed="false">
      <c r="K3595" s="24" t="n">
        <f aca="false">IF(Search!$B$3="",0,IF($A3595="",N(K3594),IF(ISNUMBER(SEARCH(Search!$B$3,$A3595&amp;"")),N(K3594)+1,N(K3594))))</f>
        <v>0</v>
      </c>
    </row>
    <row r="3596" customFormat="false" ht="15" hidden="false" customHeight="false" outlineLevel="0" collapsed="false">
      <c r="K3596" s="24" t="n">
        <f aca="false">IF(Search!$B$3="",0,IF($A3596="",N(K3595),IF(ISNUMBER(SEARCH(Search!$B$3,$A3596&amp;"")),N(K3595)+1,N(K3595))))</f>
        <v>0</v>
      </c>
    </row>
    <row r="3597" customFormat="false" ht="15" hidden="false" customHeight="false" outlineLevel="0" collapsed="false">
      <c r="K3597" s="24" t="n">
        <f aca="false">IF(Search!$B$3="",0,IF($A3597="",N(K3596),IF(ISNUMBER(SEARCH(Search!$B$3,$A3597&amp;"")),N(K3596)+1,N(K3596))))</f>
        <v>0</v>
      </c>
    </row>
    <row r="3598" customFormat="false" ht="15" hidden="false" customHeight="false" outlineLevel="0" collapsed="false">
      <c r="K3598" s="24" t="n">
        <f aca="false">IF(Search!$B$3="",0,IF($A3598="",N(K3597),IF(ISNUMBER(SEARCH(Search!$B$3,$A3598&amp;"")),N(K3597)+1,N(K3597))))</f>
        <v>0</v>
      </c>
    </row>
    <row r="3599" customFormat="false" ht="15" hidden="false" customHeight="false" outlineLevel="0" collapsed="false">
      <c r="K3599" s="24" t="n">
        <f aca="false">IF(Search!$B$3="",0,IF($A3599="",N(K3598),IF(ISNUMBER(SEARCH(Search!$B$3,$A3599&amp;"")),N(K3598)+1,N(K3598))))</f>
        <v>0</v>
      </c>
    </row>
    <row r="3600" customFormat="false" ht="15" hidden="false" customHeight="false" outlineLevel="0" collapsed="false">
      <c r="K3600" s="24" t="n">
        <f aca="false">IF(Search!$B$3="",0,IF($A3600="",N(K3599),IF(ISNUMBER(SEARCH(Search!$B$3,$A3600&amp;"")),N(K3599)+1,N(K3599))))</f>
        <v>0</v>
      </c>
    </row>
    <row r="3601" customFormat="false" ht="15" hidden="false" customHeight="false" outlineLevel="0" collapsed="false">
      <c r="K3601" s="24" t="n">
        <f aca="false">IF(Search!$B$3="",0,IF($A3601="",N(K3600),IF(ISNUMBER(SEARCH(Search!$B$3,$A3601&amp;"")),N(K3600)+1,N(K3600))))</f>
        <v>0</v>
      </c>
    </row>
    <row r="3602" customFormat="false" ht="15" hidden="false" customHeight="false" outlineLevel="0" collapsed="false">
      <c r="K3602" s="24" t="n">
        <f aca="false">IF(Search!$B$3="",0,IF($A3602="",N(K3601),IF(ISNUMBER(SEARCH(Search!$B$3,$A3602&amp;"")),N(K3601)+1,N(K3601))))</f>
        <v>0</v>
      </c>
    </row>
    <row r="3603" customFormat="false" ht="15" hidden="false" customHeight="false" outlineLevel="0" collapsed="false">
      <c r="K3603" s="24" t="n">
        <f aca="false">IF(Search!$B$3="",0,IF($A3603="",N(K3602),IF(ISNUMBER(SEARCH(Search!$B$3,$A3603&amp;"")),N(K3602)+1,N(K3602))))</f>
        <v>0</v>
      </c>
    </row>
    <row r="3604" customFormat="false" ht="15" hidden="false" customHeight="false" outlineLevel="0" collapsed="false">
      <c r="K3604" s="24" t="n">
        <f aca="false">IF(Search!$B$3="",0,IF($A3604="",N(K3603),IF(ISNUMBER(SEARCH(Search!$B$3,$A3604&amp;"")),N(K3603)+1,N(K3603))))</f>
        <v>0</v>
      </c>
    </row>
    <row r="3605" customFormat="false" ht="15" hidden="false" customHeight="false" outlineLevel="0" collapsed="false">
      <c r="K3605" s="24" t="n">
        <f aca="false">IF(Search!$B$3="",0,IF($A3605="",N(K3604),IF(ISNUMBER(SEARCH(Search!$B$3,$A3605&amp;"")),N(K3604)+1,N(K3604))))</f>
        <v>0</v>
      </c>
    </row>
    <row r="3606" customFormat="false" ht="15" hidden="false" customHeight="false" outlineLevel="0" collapsed="false">
      <c r="K3606" s="24" t="n">
        <f aca="false">IF(Search!$B$3="",0,IF($A3606="",N(K3605),IF(ISNUMBER(SEARCH(Search!$B$3,$A3606&amp;"")),N(K3605)+1,N(K3605))))</f>
        <v>0</v>
      </c>
    </row>
    <row r="3607" customFormat="false" ht="15" hidden="false" customHeight="false" outlineLevel="0" collapsed="false">
      <c r="K3607" s="24" t="n">
        <f aca="false">IF(Search!$B$3="",0,IF($A3607="",N(K3606),IF(ISNUMBER(SEARCH(Search!$B$3,$A3607&amp;"")),N(K3606)+1,N(K3606))))</f>
        <v>0</v>
      </c>
    </row>
    <row r="3608" customFormat="false" ht="15" hidden="false" customHeight="false" outlineLevel="0" collapsed="false">
      <c r="K3608" s="24" t="n">
        <f aca="false">IF(Search!$B$3="",0,IF($A3608="",N(K3607),IF(ISNUMBER(SEARCH(Search!$B$3,$A3608&amp;"")),N(K3607)+1,N(K3607))))</f>
        <v>0</v>
      </c>
    </row>
    <row r="3609" customFormat="false" ht="15" hidden="false" customHeight="false" outlineLevel="0" collapsed="false">
      <c r="K3609" s="24" t="n">
        <f aca="false">IF(Search!$B$3="",0,IF($A3609="",N(K3608),IF(ISNUMBER(SEARCH(Search!$B$3,$A3609&amp;"")),N(K3608)+1,N(K3608))))</f>
        <v>0</v>
      </c>
    </row>
    <row r="3610" customFormat="false" ht="15" hidden="false" customHeight="false" outlineLevel="0" collapsed="false">
      <c r="K3610" s="24" t="n">
        <f aca="false">IF(Search!$B$3="",0,IF($A3610="",N(K3609),IF(ISNUMBER(SEARCH(Search!$B$3,$A3610&amp;"")),N(K3609)+1,N(K3609))))</f>
        <v>0</v>
      </c>
    </row>
    <row r="3611" customFormat="false" ht="15" hidden="false" customHeight="false" outlineLevel="0" collapsed="false">
      <c r="K3611" s="24" t="n">
        <f aca="false">IF(Search!$B$3="",0,IF($A3611="",N(K3610),IF(ISNUMBER(SEARCH(Search!$B$3,$A3611&amp;"")),N(K3610)+1,N(K3610))))</f>
        <v>0</v>
      </c>
    </row>
    <row r="3612" customFormat="false" ht="15" hidden="false" customHeight="false" outlineLevel="0" collapsed="false">
      <c r="K3612" s="24" t="n">
        <f aca="false">IF(Search!$B$3="",0,IF($A3612="",N(K3611),IF(ISNUMBER(SEARCH(Search!$B$3,$A3612&amp;"")),N(K3611)+1,N(K3611))))</f>
        <v>0</v>
      </c>
    </row>
    <row r="3613" customFormat="false" ht="15" hidden="false" customHeight="false" outlineLevel="0" collapsed="false">
      <c r="K3613" s="24" t="n">
        <f aca="false">IF(Search!$B$3="",0,IF($A3613="",N(K3612),IF(ISNUMBER(SEARCH(Search!$B$3,$A3613&amp;"")),N(K3612)+1,N(K3612))))</f>
        <v>0</v>
      </c>
    </row>
    <row r="3614" customFormat="false" ht="15" hidden="false" customHeight="false" outlineLevel="0" collapsed="false">
      <c r="K3614" s="24" t="n">
        <f aca="false">IF(Search!$B$3="",0,IF($A3614="",N(K3613),IF(ISNUMBER(SEARCH(Search!$B$3,$A3614&amp;"")),N(K3613)+1,N(K3613))))</f>
        <v>0</v>
      </c>
    </row>
    <row r="3615" customFormat="false" ht="15" hidden="false" customHeight="false" outlineLevel="0" collapsed="false">
      <c r="K3615" s="24" t="n">
        <f aca="false">IF(Search!$B$3="",0,IF($A3615="",N(K3614),IF(ISNUMBER(SEARCH(Search!$B$3,$A3615&amp;"")),N(K3614)+1,N(K3614))))</f>
        <v>0</v>
      </c>
    </row>
    <row r="3616" customFormat="false" ht="15" hidden="false" customHeight="false" outlineLevel="0" collapsed="false">
      <c r="K3616" s="24" t="n">
        <f aca="false">IF(Search!$B$3="",0,IF($A3616="",N(K3615),IF(ISNUMBER(SEARCH(Search!$B$3,$A3616&amp;"")),N(K3615)+1,N(K3615))))</f>
        <v>0</v>
      </c>
    </row>
    <row r="3617" customFormat="false" ht="15" hidden="false" customHeight="false" outlineLevel="0" collapsed="false">
      <c r="K3617" s="24" t="n">
        <f aca="false">IF(Search!$B$3="",0,IF($A3617="",N(K3616),IF(ISNUMBER(SEARCH(Search!$B$3,$A3617&amp;"")),N(K3616)+1,N(K3616))))</f>
        <v>0</v>
      </c>
    </row>
    <row r="3618" customFormat="false" ht="15" hidden="false" customHeight="false" outlineLevel="0" collapsed="false">
      <c r="K3618" s="24" t="n">
        <f aca="false">IF(Search!$B$3="",0,IF($A3618="",N(K3617),IF(ISNUMBER(SEARCH(Search!$B$3,$A3618&amp;"")),N(K3617)+1,N(K3617))))</f>
        <v>0</v>
      </c>
    </row>
    <row r="3619" customFormat="false" ht="15" hidden="false" customHeight="false" outlineLevel="0" collapsed="false">
      <c r="K3619" s="24" t="n">
        <f aca="false">IF(Search!$B$3="",0,IF($A3619="",N(K3618),IF(ISNUMBER(SEARCH(Search!$B$3,$A3619&amp;"")),N(K3618)+1,N(K3618))))</f>
        <v>0</v>
      </c>
    </row>
    <row r="3620" customFormat="false" ht="15" hidden="false" customHeight="false" outlineLevel="0" collapsed="false">
      <c r="K3620" s="24" t="n">
        <f aca="false">IF(Search!$B$3="",0,IF($A3620="",N(K3619),IF(ISNUMBER(SEARCH(Search!$B$3,$A3620&amp;"")),N(K3619)+1,N(K3619))))</f>
        <v>0</v>
      </c>
    </row>
    <row r="3621" customFormat="false" ht="15" hidden="false" customHeight="false" outlineLevel="0" collapsed="false">
      <c r="K3621" s="24" t="n">
        <f aca="false">IF(Search!$B$3="",0,IF($A3621="",N(K3620),IF(ISNUMBER(SEARCH(Search!$B$3,$A3621&amp;"")),N(K3620)+1,N(K3620))))</f>
        <v>0</v>
      </c>
    </row>
    <row r="3622" customFormat="false" ht="15" hidden="false" customHeight="false" outlineLevel="0" collapsed="false">
      <c r="K3622" s="24" t="n">
        <f aca="false">IF(Search!$B$3="",0,IF($A3622="",N(K3621),IF(ISNUMBER(SEARCH(Search!$B$3,$A3622&amp;"")),N(K3621)+1,N(K3621))))</f>
        <v>0</v>
      </c>
    </row>
    <row r="3623" customFormat="false" ht="15" hidden="false" customHeight="false" outlineLevel="0" collapsed="false">
      <c r="K3623" s="24" t="n">
        <f aca="false">IF(Search!$B$3="",0,IF($A3623="",N(K3622),IF(ISNUMBER(SEARCH(Search!$B$3,$A3623&amp;"")),N(K3622)+1,N(K3622))))</f>
        <v>0</v>
      </c>
    </row>
    <row r="3624" customFormat="false" ht="15" hidden="false" customHeight="false" outlineLevel="0" collapsed="false">
      <c r="K3624" s="24" t="n">
        <f aca="false">IF(Search!$B$3="",0,IF($A3624="",N(K3623),IF(ISNUMBER(SEARCH(Search!$B$3,$A3624&amp;"")),N(K3623)+1,N(K3623))))</f>
        <v>0</v>
      </c>
    </row>
    <row r="3625" customFormat="false" ht="15" hidden="false" customHeight="false" outlineLevel="0" collapsed="false">
      <c r="K3625" s="24" t="n">
        <f aca="false">IF(Search!$B$3="",0,IF($A3625="",N(K3624),IF(ISNUMBER(SEARCH(Search!$B$3,$A3625&amp;"")),N(K3624)+1,N(K3624))))</f>
        <v>0</v>
      </c>
    </row>
    <row r="3626" customFormat="false" ht="15" hidden="false" customHeight="false" outlineLevel="0" collapsed="false">
      <c r="K3626" s="24" t="n">
        <f aca="false">IF(Search!$B$3="",0,IF($A3626="",N(K3625),IF(ISNUMBER(SEARCH(Search!$B$3,$A3626&amp;"")),N(K3625)+1,N(K3625))))</f>
        <v>0</v>
      </c>
    </row>
    <row r="3627" customFormat="false" ht="15" hidden="false" customHeight="false" outlineLevel="0" collapsed="false">
      <c r="K3627" s="24" t="n">
        <f aca="false">IF(Search!$B$3="",0,IF($A3627="",N(K3626),IF(ISNUMBER(SEARCH(Search!$B$3,$A3627&amp;"")),N(K3626)+1,N(K3626))))</f>
        <v>0</v>
      </c>
    </row>
    <row r="3628" customFormat="false" ht="15" hidden="false" customHeight="false" outlineLevel="0" collapsed="false">
      <c r="K3628" s="24" t="n">
        <f aca="false">IF(Search!$B$3="",0,IF($A3628="",N(K3627),IF(ISNUMBER(SEARCH(Search!$B$3,$A3628&amp;"")),N(K3627)+1,N(K3627))))</f>
        <v>0</v>
      </c>
    </row>
    <row r="3629" customFormat="false" ht="15" hidden="false" customHeight="false" outlineLevel="0" collapsed="false">
      <c r="K3629" s="24" t="n">
        <f aca="false">IF(Search!$B$3="",0,IF($A3629="",N(K3628),IF(ISNUMBER(SEARCH(Search!$B$3,$A3629&amp;"")),N(K3628)+1,N(K3628))))</f>
        <v>0</v>
      </c>
    </row>
    <row r="3630" customFormat="false" ht="15" hidden="false" customHeight="false" outlineLevel="0" collapsed="false">
      <c r="K3630" s="24" t="n">
        <f aca="false">IF(Search!$B$3="",0,IF($A3630="",N(K3629),IF(ISNUMBER(SEARCH(Search!$B$3,$A3630&amp;"")),N(K3629)+1,N(K3629))))</f>
        <v>0</v>
      </c>
    </row>
    <row r="3631" customFormat="false" ht="15" hidden="false" customHeight="false" outlineLevel="0" collapsed="false">
      <c r="K3631" s="24" t="n">
        <f aca="false">IF(Search!$B$3="",0,IF($A3631="",N(K3630),IF(ISNUMBER(SEARCH(Search!$B$3,$A3631&amp;"")),N(K3630)+1,N(K3630))))</f>
        <v>0</v>
      </c>
    </row>
    <row r="3632" customFormat="false" ht="15" hidden="false" customHeight="false" outlineLevel="0" collapsed="false">
      <c r="K3632" s="24" t="n">
        <f aca="false">IF(Search!$B$3="",0,IF($A3632="",N(K3631),IF(ISNUMBER(SEARCH(Search!$B$3,$A3632&amp;"")),N(K3631)+1,N(K3631))))</f>
        <v>0</v>
      </c>
    </row>
    <row r="3633" customFormat="false" ht="15" hidden="false" customHeight="false" outlineLevel="0" collapsed="false">
      <c r="K3633" s="24" t="n">
        <f aca="false">IF(Search!$B$3="",0,IF($A3633="",N(K3632),IF(ISNUMBER(SEARCH(Search!$B$3,$A3633&amp;"")),N(K3632)+1,N(K3632))))</f>
        <v>0</v>
      </c>
    </row>
    <row r="3634" customFormat="false" ht="15" hidden="false" customHeight="false" outlineLevel="0" collapsed="false">
      <c r="K3634" s="24" t="n">
        <f aca="false">IF(Search!$B$3="",0,IF($A3634="",N(K3633),IF(ISNUMBER(SEARCH(Search!$B$3,$A3634&amp;"")),N(K3633)+1,N(K3633))))</f>
        <v>0</v>
      </c>
    </row>
    <row r="3635" customFormat="false" ht="15" hidden="false" customHeight="false" outlineLevel="0" collapsed="false">
      <c r="K3635" s="24" t="n">
        <f aca="false">IF(Search!$B$3="",0,IF($A3635="",N(K3634),IF(ISNUMBER(SEARCH(Search!$B$3,$A3635&amp;"")),N(K3634)+1,N(K3634))))</f>
        <v>0</v>
      </c>
    </row>
    <row r="3636" customFormat="false" ht="15" hidden="false" customHeight="false" outlineLevel="0" collapsed="false">
      <c r="K3636" s="24" t="n">
        <f aca="false">IF(Search!$B$3="",0,IF($A3636="",N(K3635),IF(ISNUMBER(SEARCH(Search!$B$3,$A3636&amp;"")),N(K3635)+1,N(K3635))))</f>
        <v>0</v>
      </c>
    </row>
    <row r="3637" customFormat="false" ht="15" hidden="false" customHeight="false" outlineLevel="0" collapsed="false">
      <c r="K3637" s="24" t="n">
        <f aca="false">IF(Search!$B$3="",0,IF($A3637="",N(K3636),IF(ISNUMBER(SEARCH(Search!$B$3,$A3637&amp;"")),N(K3636)+1,N(K3636))))</f>
        <v>0</v>
      </c>
    </row>
    <row r="3638" customFormat="false" ht="15" hidden="false" customHeight="false" outlineLevel="0" collapsed="false">
      <c r="K3638" s="24" t="n">
        <f aca="false">IF(Search!$B$3="",0,IF($A3638="",N(K3637),IF(ISNUMBER(SEARCH(Search!$B$3,$A3638&amp;"")),N(K3637)+1,N(K3637))))</f>
        <v>0</v>
      </c>
    </row>
    <row r="3639" customFormat="false" ht="15" hidden="false" customHeight="false" outlineLevel="0" collapsed="false">
      <c r="K3639" s="24" t="n">
        <f aca="false">IF(Search!$B$3="",0,IF($A3639="",N(K3638),IF(ISNUMBER(SEARCH(Search!$B$3,$A3639&amp;"")),N(K3638)+1,N(K3638))))</f>
        <v>0</v>
      </c>
    </row>
    <row r="3640" customFormat="false" ht="15" hidden="false" customHeight="false" outlineLevel="0" collapsed="false">
      <c r="K3640" s="24" t="n">
        <f aca="false">IF(Search!$B$3="",0,IF($A3640="",N(K3639),IF(ISNUMBER(SEARCH(Search!$B$3,$A3640&amp;"")),N(K3639)+1,N(K3639))))</f>
        <v>0</v>
      </c>
    </row>
    <row r="3641" customFormat="false" ht="15" hidden="false" customHeight="false" outlineLevel="0" collapsed="false">
      <c r="K3641" s="24" t="n">
        <f aca="false">IF(Search!$B$3="",0,IF($A3641="",N(K3640),IF(ISNUMBER(SEARCH(Search!$B$3,$A3641&amp;"")),N(K3640)+1,N(K3640))))</f>
        <v>0</v>
      </c>
    </row>
    <row r="3642" customFormat="false" ht="15" hidden="false" customHeight="false" outlineLevel="0" collapsed="false">
      <c r="K3642" s="24" t="n">
        <f aca="false">IF(Search!$B$3="",0,IF($A3642="",N(K3641),IF(ISNUMBER(SEARCH(Search!$B$3,$A3642&amp;"")),N(K3641)+1,N(K3641))))</f>
        <v>0</v>
      </c>
    </row>
    <row r="3643" customFormat="false" ht="15" hidden="false" customHeight="false" outlineLevel="0" collapsed="false">
      <c r="K3643" s="24" t="n">
        <f aca="false">IF(Search!$B$3="",0,IF($A3643="",N(K3642),IF(ISNUMBER(SEARCH(Search!$B$3,$A3643&amp;"")),N(K3642)+1,N(K3642))))</f>
        <v>0</v>
      </c>
    </row>
    <row r="3644" customFormat="false" ht="15" hidden="false" customHeight="false" outlineLevel="0" collapsed="false">
      <c r="K3644" s="24" t="n">
        <f aca="false">IF(Search!$B$3="",0,IF($A3644="",N(K3643),IF(ISNUMBER(SEARCH(Search!$B$3,$A3644&amp;"")),N(K3643)+1,N(K3643))))</f>
        <v>0</v>
      </c>
    </row>
    <row r="3645" customFormat="false" ht="15" hidden="false" customHeight="false" outlineLevel="0" collapsed="false">
      <c r="K3645" s="24" t="n">
        <f aca="false">IF(Search!$B$3="",0,IF($A3645="",N(K3644),IF(ISNUMBER(SEARCH(Search!$B$3,$A3645&amp;"")),N(K3644)+1,N(K3644))))</f>
        <v>0</v>
      </c>
    </row>
    <row r="3646" customFormat="false" ht="15" hidden="false" customHeight="false" outlineLevel="0" collapsed="false">
      <c r="K3646" s="24" t="n">
        <f aca="false">IF(Search!$B$3="",0,IF($A3646="",N(K3645),IF(ISNUMBER(SEARCH(Search!$B$3,$A3646&amp;"")),N(K3645)+1,N(K3645))))</f>
        <v>0</v>
      </c>
    </row>
    <row r="3647" customFormat="false" ht="15" hidden="false" customHeight="false" outlineLevel="0" collapsed="false">
      <c r="K3647" s="24" t="n">
        <f aca="false">IF(Search!$B$3="",0,IF($A3647="",N(K3646),IF(ISNUMBER(SEARCH(Search!$B$3,$A3647&amp;"")),N(K3646)+1,N(K3646))))</f>
        <v>0</v>
      </c>
    </row>
    <row r="3648" customFormat="false" ht="15" hidden="false" customHeight="false" outlineLevel="0" collapsed="false">
      <c r="K3648" s="24" t="n">
        <f aca="false">IF(Search!$B$3="",0,IF($A3648="",N(K3647),IF(ISNUMBER(SEARCH(Search!$B$3,$A3648&amp;"")),N(K3647)+1,N(K3647))))</f>
        <v>0</v>
      </c>
    </row>
    <row r="3649" customFormat="false" ht="15" hidden="false" customHeight="false" outlineLevel="0" collapsed="false">
      <c r="K3649" s="24" t="n">
        <f aca="false">IF(Search!$B$3="",0,IF($A3649="",N(K3648),IF(ISNUMBER(SEARCH(Search!$B$3,$A3649&amp;"")),N(K3648)+1,N(K3648))))</f>
        <v>0</v>
      </c>
    </row>
    <row r="3650" customFormat="false" ht="15" hidden="false" customHeight="false" outlineLevel="0" collapsed="false">
      <c r="K3650" s="24" t="n">
        <f aca="false">IF(Search!$B$3="",0,IF($A3650="",N(K3649),IF(ISNUMBER(SEARCH(Search!$B$3,$A3650&amp;"")),N(K3649)+1,N(K3649))))</f>
        <v>0</v>
      </c>
    </row>
    <row r="3651" customFormat="false" ht="15" hidden="false" customHeight="false" outlineLevel="0" collapsed="false">
      <c r="K3651" s="24" t="n">
        <f aca="false">IF(Search!$B$3="",0,IF($A3651="",N(K3650),IF(ISNUMBER(SEARCH(Search!$B$3,$A3651&amp;"")),N(K3650)+1,N(K3650))))</f>
        <v>0</v>
      </c>
    </row>
    <row r="3652" customFormat="false" ht="15" hidden="false" customHeight="false" outlineLevel="0" collapsed="false">
      <c r="K3652" s="24" t="n">
        <f aca="false">IF(Search!$B$3="",0,IF($A3652="",N(K3651),IF(ISNUMBER(SEARCH(Search!$B$3,$A3652&amp;"")),N(K3651)+1,N(K3651))))</f>
        <v>0</v>
      </c>
    </row>
    <row r="3653" customFormat="false" ht="15" hidden="false" customHeight="false" outlineLevel="0" collapsed="false">
      <c r="K3653" s="24" t="n">
        <f aca="false">IF(Search!$B$3="",0,IF($A3653="",N(K3652),IF(ISNUMBER(SEARCH(Search!$B$3,$A3653&amp;"")),N(K3652)+1,N(K3652))))</f>
        <v>0</v>
      </c>
    </row>
    <row r="3654" customFormat="false" ht="15" hidden="false" customHeight="false" outlineLevel="0" collapsed="false">
      <c r="K3654" s="24" t="n">
        <f aca="false">IF(Search!$B$3="",0,IF($A3654="",N(K3653),IF(ISNUMBER(SEARCH(Search!$B$3,$A3654&amp;"")),N(K3653)+1,N(K3653))))</f>
        <v>0</v>
      </c>
    </row>
    <row r="3655" customFormat="false" ht="15" hidden="false" customHeight="false" outlineLevel="0" collapsed="false">
      <c r="K3655" s="24" t="n">
        <f aca="false">IF(Search!$B$3="",0,IF($A3655="",N(K3654),IF(ISNUMBER(SEARCH(Search!$B$3,$A3655&amp;"")),N(K3654)+1,N(K3654))))</f>
        <v>0</v>
      </c>
    </row>
    <row r="3656" customFormat="false" ht="15" hidden="false" customHeight="false" outlineLevel="0" collapsed="false">
      <c r="K3656" s="24" t="n">
        <f aca="false">IF(Search!$B$3="",0,IF($A3656="",N(K3655),IF(ISNUMBER(SEARCH(Search!$B$3,$A3656&amp;"")),N(K3655)+1,N(K3655))))</f>
        <v>0</v>
      </c>
    </row>
    <row r="3657" customFormat="false" ht="15" hidden="false" customHeight="false" outlineLevel="0" collapsed="false">
      <c r="K3657" s="24" t="n">
        <f aca="false">IF(Search!$B$3="",0,IF($A3657="",N(K3656),IF(ISNUMBER(SEARCH(Search!$B$3,$A3657&amp;"")),N(K3656)+1,N(K3656))))</f>
        <v>0</v>
      </c>
    </row>
    <row r="3658" customFormat="false" ht="15" hidden="false" customHeight="false" outlineLevel="0" collapsed="false">
      <c r="K3658" s="24" t="n">
        <f aca="false">IF(Search!$B$3="",0,IF($A3658="",N(K3657),IF(ISNUMBER(SEARCH(Search!$B$3,$A3658&amp;"")),N(K3657)+1,N(K3657))))</f>
        <v>0</v>
      </c>
    </row>
    <row r="3659" customFormat="false" ht="15" hidden="false" customHeight="false" outlineLevel="0" collapsed="false">
      <c r="K3659" s="24" t="n">
        <f aca="false">IF(Search!$B$3="",0,IF($A3659="",N(K3658),IF(ISNUMBER(SEARCH(Search!$B$3,$A3659&amp;"")),N(K3658)+1,N(K3658))))</f>
        <v>0</v>
      </c>
    </row>
    <row r="3660" customFormat="false" ht="15" hidden="false" customHeight="false" outlineLevel="0" collapsed="false">
      <c r="K3660" s="24" t="n">
        <f aca="false">IF(Search!$B$3="",0,IF($A3660="",N(K3659),IF(ISNUMBER(SEARCH(Search!$B$3,$A3660&amp;"")),N(K3659)+1,N(K3659))))</f>
        <v>0</v>
      </c>
    </row>
    <row r="3661" customFormat="false" ht="15" hidden="false" customHeight="false" outlineLevel="0" collapsed="false">
      <c r="K3661" s="24" t="n">
        <f aca="false">IF(Search!$B$3="",0,IF($A3661="",N(K3660),IF(ISNUMBER(SEARCH(Search!$B$3,$A3661&amp;"")),N(K3660)+1,N(K3660))))</f>
        <v>0</v>
      </c>
    </row>
    <row r="3662" customFormat="false" ht="15" hidden="false" customHeight="false" outlineLevel="0" collapsed="false">
      <c r="K3662" s="24" t="n">
        <f aca="false">IF(Search!$B$3="",0,IF($A3662="",N(K3661),IF(ISNUMBER(SEARCH(Search!$B$3,$A3662&amp;"")),N(K3661)+1,N(K3661))))</f>
        <v>0</v>
      </c>
    </row>
    <row r="3663" customFormat="false" ht="15" hidden="false" customHeight="false" outlineLevel="0" collapsed="false">
      <c r="K3663" s="24" t="n">
        <f aca="false">IF(Search!$B$3="",0,IF($A3663="",N(K3662),IF(ISNUMBER(SEARCH(Search!$B$3,$A3663&amp;"")),N(K3662)+1,N(K3662))))</f>
        <v>0</v>
      </c>
    </row>
    <row r="3664" customFormat="false" ht="15" hidden="false" customHeight="false" outlineLevel="0" collapsed="false">
      <c r="K3664" s="24" t="n">
        <f aca="false">IF(Search!$B$3="",0,IF($A3664="",N(K3663),IF(ISNUMBER(SEARCH(Search!$B$3,$A3664&amp;"")),N(K3663)+1,N(K3663))))</f>
        <v>0</v>
      </c>
    </row>
    <row r="3665" customFormat="false" ht="15" hidden="false" customHeight="false" outlineLevel="0" collapsed="false">
      <c r="K3665" s="24" t="n">
        <f aca="false">IF(Search!$B$3="",0,IF($A3665="",N(K3664),IF(ISNUMBER(SEARCH(Search!$B$3,$A3665&amp;"")),N(K3664)+1,N(K3664))))</f>
        <v>0</v>
      </c>
    </row>
    <row r="3666" customFormat="false" ht="15" hidden="false" customHeight="false" outlineLevel="0" collapsed="false">
      <c r="K3666" s="24" t="n">
        <f aca="false">IF(Search!$B$3="",0,IF($A3666="",N(K3665),IF(ISNUMBER(SEARCH(Search!$B$3,$A3666&amp;"")),N(K3665)+1,N(K3665))))</f>
        <v>0</v>
      </c>
    </row>
    <row r="3667" customFormat="false" ht="15" hidden="false" customHeight="false" outlineLevel="0" collapsed="false">
      <c r="K3667" s="24" t="n">
        <f aca="false">IF(Search!$B$3="",0,IF($A3667="",N(K3666),IF(ISNUMBER(SEARCH(Search!$B$3,$A3667&amp;"")),N(K3666)+1,N(K3666))))</f>
        <v>0</v>
      </c>
    </row>
    <row r="3668" customFormat="false" ht="15" hidden="false" customHeight="false" outlineLevel="0" collapsed="false">
      <c r="K3668" s="24" t="n">
        <f aca="false">IF(Search!$B$3="",0,IF($A3668="",N(K3667),IF(ISNUMBER(SEARCH(Search!$B$3,$A3668&amp;"")),N(K3667)+1,N(K3667))))</f>
        <v>0</v>
      </c>
    </row>
    <row r="3669" customFormat="false" ht="15" hidden="false" customHeight="false" outlineLevel="0" collapsed="false">
      <c r="K3669" s="24" t="n">
        <f aca="false">IF(Search!$B$3="",0,IF($A3669="",N(K3668),IF(ISNUMBER(SEARCH(Search!$B$3,$A3669&amp;"")),N(K3668)+1,N(K3668))))</f>
        <v>0</v>
      </c>
    </row>
    <row r="3670" customFormat="false" ht="15" hidden="false" customHeight="false" outlineLevel="0" collapsed="false">
      <c r="K3670" s="24" t="n">
        <f aca="false">IF(Search!$B$3="",0,IF($A3670="",N(K3669),IF(ISNUMBER(SEARCH(Search!$B$3,$A3670&amp;"")),N(K3669)+1,N(K3669))))</f>
        <v>0</v>
      </c>
    </row>
    <row r="3671" customFormat="false" ht="15" hidden="false" customHeight="false" outlineLevel="0" collapsed="false">
      <c r="K3671" s="24" t="n">
        <f aca="false">IF(Search!$B$3="",0,IF($A3671="",N(K3670),IF(ISNUMBER(SEARCH(Search!$B$3,$A3671&amp;"")),N(K3670)+1,N(K3670))))</f>
        <v>0</v>
      </c>
    </row>
    <row r="3672" customFormat="false" ht="15" hidden="false" customHeight="false" outlineLevel="0" collapsed="false">
      <c r="K3672" s="24" t="n">
        <f aca="false">IF(Search!$B$3="",0,IF($A3672="",N(K3671),IF(ISNUMBER(SEARCH(Search!$B$3,$A3672&amp;"")),N(K3671)+1,N(K3671))))</f>
        <v>0</v>
      </c>
    </row>
    <row r="3673" customFormat="false" ht="15" hidden="false" customHeight="false" outlineLevel="0" collapsed="false">
      <c r="K3673" s="24" t="n">
        <f aca="false">IF(Search!$B$3="",0,IF($A3673="",N(K3672),IF(ISNUMBER(SEARCH(Search!$B$3,$A3673&amp;"")),N(K3672)+1,N(K3672))))</f>
        <v>0</v>
      </c>
    </row>
    <row r="3674" customFormat="false" ht="15" hidden="false" customHeight="false" outlineLevel="0" collapsed="false">
      <c r="K3674" s="24" t="n">
        <f aca="false">IF(Search!$B$3="",0,IF($A3674="",N(K3673),IF(ISNUMBER(SEARCH(Search!$B$3,$A3674&amp;"")),N(K3673)+1,N(K3673))))</f>
        <v>0</v>
      </c>
    </row>
    <row r="3675" customFormat="false" ht="15" hidden="false" customHeight="false" outlineLevel="0" collapsed="false">
      <c r="K3675" s="24" t="n">
        <f aca="false">IF(Search!$B$3="",0,IF($A3675="",N(K3674),IF(ISNUMBER(SEARCH(Search!$B$3,$A3675&amp;"")),N(K3674)+1,N(K3674))))</f>
        <v>0</v>
      </c>
    </row>
    <row r="3676" customFormat="false" ht="15" hidden="false" customHeight="false" outlineLevel="0" collapsed="false">
      <c r="K3676" s="24" t="n">
        <f aca="false">IF(Search!$B$3="",0,IF($A3676="",N(K3675),IF(ISNUMBER(SEARCH(Search!$B$3,$A3676&amp;"")),N(K3675)+1,N(K3675))))</f>
        <v>0</v>
      </c>
    </row>
    <row r="3677" customFormat="false" ht="15" hidden="false" customHeight="false" outlineLevel="0" collapsed="false">
      <c r="K3677" s="24" t="n">
        <f aca="false">IF(Search!$B$3="",0,IF($A3677="",N(K3676),IF(ISNUMBER(SEARCH(Search!$B$3,$A3677&amp;"")),N(K3676)+1,N(K3676))))</f>
        <v>0</v>
      </c>
    </row>
    <row r="3678" customFormat="false" ht="15" hidden="false" customHeight="false" outlineLevel="0" collapsed="false">
      <c r="K3678" s="24" t="n">
        <f aca="false">IF(Search!$B$3="",0,IF($A3678="",N(K3677),IF(ISNUMBER(SEARCH(Search!$B$3,$A3678&amp;"")),N(K3677)+1,N(K3677))))</f>
        <v>0</v>
      </c>
    </row>
    <row r="3679" customFormat="false" ht="15" hidden="false" customHeight="false" outlineLevel="0" collapsed="false">
      <c r="K3679" s="24" t="n">
        <f aca="false">IF(Search!$B$3="",0,IF($A3679="",N(K3678),IF(ISNUMBER(SEARCH(Search!$B$3,$A3679&amp;"")),N(K3678)+1,N(K3678))))</f>
        <v>0</v>
      </c>
    </row>
    <row r="3680" customFormat="false" ht="15" hidden="false" customHeight="false" outlineLevel="0" collapsed="false">
      <c r="K3680" s="24" t="n">
        <f aca="false">IF(Search!$B$3="",0,IF($A3680="",N(K3679),IF(ISNUMBER(SEARCH(Search!$B$3,$A3680&amp;"")),N(K3679)+1,N(K3679))))</f>
        <v>0</v>
      </c>
    </row>
    <row r="3681" customFormat="false" ht="15" hidden="false" customHeight="false" outlineLevel="0" collapsed="false">
      <c r="K3681" s="24" t="n">
        <f aca="false">IF(Search!$B$3="",0,IF($A3681="",N(K3680),IF(ISNUMBER(SEARCH(Search!$B$3,$A3681&amp;"")),N(K3680)+1,N(K3680))))</f>
        <v>0</v>
      </c>
    </row>
    <row r="3682" customFormat="false" ht="15" hidden="false" customHeight="false" outlineLevel="0" collapsed="false">
      <c r="K3682" s="24" t="n">
        <f aca="false">IF(Search!$B$3="",0,IF($A3682="",N(K3681),IF(ISNUMBER(SEARCH(Search!$B$3,$A3682&amp;"")),N(K3681)+1,N(K3681))))</f>
        <v>0</v>
      </c>
    </row>
    <row r="3683" customFormat="false" ht="15" hidden="false" customHeight="false" outlineLevel="0" collapsed="false">
      <c r="K3683" s="24" t="n">
        <f aca="false">IF(Search!$B$3="",0,IF($A3683="",N(K3682),IF(ISNUMBER(SEARCH(Search!$B$3,$A3683&amp;"")),N(K3682)+1,N(K3682))))</f>
        <v>0</v>
      </c>
    </row>
    <row r="3684" customFormat="false" ht="15" hidden="false" customHeight="false" outlineLevel="0" collapsed="false">
      <c r="K3684" s="24" t="n">
        <f aca="false">IF(Search!$B$3="",0,IF($A3684="",N(K3683),IF(ISNUMBER(SEARCH(Search!$B$3,$A3684&amp;"")),N(K3683)+1,N(K3683))))</f>
        <v>0</v>
      </c>
    </row>
    <row r="3685" customFormat="false" ht="15" hidden="false" customHeight="false" outlineLevel="0" collapsed="false">
      <c r="K3685" s="24" t="n">
        <f aca="false">IF(Search!$B$3="",0,IF($A3685="",N(K3684),IF(ISNUMBER(SEARCH(Search!$B$3,$A3685&amp;"")),N(K3684)+1,N(K3684))))</f>
        <v>0</v>
      </c>
    </row>
    <row r="3686" customFormat="false" ht="15" hidden="false" customHeight="false" outlineLevel="0" collapsed="false">
      <c r="K3686" s="24" t="n">
        <f aca="false">IF(Search!$B$3="",0,IF($A3686="",N(K3685),IF(ISNUMBER(SEARCH(Search!$B$3,$A3686&amp;"")),N(K3685)+1,N(K3685))))</f>
        <v>0</v>
      </c>
    </row>
    <row r="3687" customFormat="false" ht="15" hidden="false" customHeight="false" outlineLevel="0" collapsed="false">
      <c r="K3687" s="24" t="n">
        <f aca="false">IF(Search!$B$3="",0,IF($A3687="",N(K3686),IF(ISNUMBER(SEARCH(Search!$B$3,$A3687&amp;"")),N(K3686)+1,N(K3686))))</f>
        <v>0</v>
      </c>
    </row>
    <row r="3688" customFormat="false" ht="15" hidden="false" customHeight="false" outlineLevel="0" collapsed="false">
      <c r="K3688" s="24" t="n">
        <f aca="false">IF(Search!$B$3="",0,IF($A3688="",N(K3687),IF(ISNUMBER(SEARCH(Search!$B$3,$A3688&amp;"")),N(K3687)+1,N(K3687))))</f>
        <v>0</v>
      </c>
    </row>
    <row r="3689" customFormat="false" ht="15" hidden="false" customHeight="false" outlineLevel="0" collapsed="false">
      <c r="K3689" s="24" t="n">
        <f aca="false">IF(Search!$B$3="",0,IF($A3689="",N(K3688),IF(ISNUMBER(SEARCH(Search!$B$3,$A3689&amp;"")),N(K3688)+1,N(K3688))))</f>
        <v>0</v>
      </c>
    </row>
    <row r="3690" customFormat="false" ht="15" hidden="false" customHeight="false" outlineLevel="0" collapsed="false">
      <c r="K3690" s="24" t="n">
        <f aca="false">IF(Search!$B$3="",0,IF($A3690="",N(K3689),IF(ISNUMBER(SEARCH(Search!$B$3,$A3690&amp;"")),N(K3689)+1,N(K3689))))</f>
        <v>0</v>
      </c>
    </row>
    <row r="3691" customFormat="false" ht="15" hidden="false" customHeight="false" outlineLevel="0" collapsed="false">
      <c r="K3691" s="24" t="n">
        <f aca="false">IF(Search!$B$3="",0,IF($A3691="",N(K3690),IF(ISNUMBER(SEARCH(Search!$B$3,$A3691&amp;"")),N(K3690)+1,N(K3690))))</f>
        <v>0</v>
      </c>
    </row>
    <row r="3692" customFormat="false" ht="15" hidden="false" customHeight="false" outlineLevel="0" collapsed="false">
      <c r="K3692" s="24" t="n">
        <f aca="false">IF(Search!$B$3="",0,IF($A3692="",N(K3691),IF(ISNUMBER(SEARCH(Search!$B$3,$A3692&amp;"")),N(K3691)+1,N(K3691))))</f>
        <v>0</v>
      </c>
    </row>
    <row r="3693" customFormat="false" ht="15" hidden="false" customHeight="false" outlineLevel="0" collapsed="false">
      <c r="K3693" s="24" t="n">
        <f aca="false">IF(Search!$B$3="",0,IF($A3693="",N(K3692),IF(ISNUMBER(SEARCH(Search!$B$3,$A3693&amp;"")),N(K3692)+1,N(K3692))))</f>
        <v>0</v>
      </c>
    </row>
    <row r="3694" customFormat="false" ht="15" hidden="false" customHeight="false" outlineLevel="0" collapsed="false">
      <c r="K3694" s="24" t="n">
        <f aca="false">IF(Search!$B$3="",0,IF($A3694="",N(K3693),IF(ISNUMBER(SEARCH(Search!$B$3,$A3694&amp;"")),N(K3693)+1,N(K3693))))</f>
        <v>0</v>
      </c>
    </row>
    <row r="3695" customFormat="false" ht="15" hidden="false" customHeight="false" outlineLevel="0" collapsed="false">
      <c r="K3695" s="24" t="n">
        <f aca="false">IF(Search!$B$3="",0,IF($A3695="",N(K3694),IF(ISNUMBER(SEARCH(Search!$B$3,$A3695&amp;"")),N(K3694)+1,N(K3694))))</f>
        <v>0</v>
      </c>
    </row>
    <row r="3696" customFormat="false" ht="15" hidden="false" customHeight="false" outlineLevel="0" collapsed="false">
      <c r="K3696" s="24" t="n">
        <f aca="false">IF(Search!$B$3="",0,IF($A3696="",N(K3695),IF(ISNUMBER(SEARCH(Search!$B$3,$A3696&amp;"")),N(K3695)+1,N(K3695))))</f>
        <v>0</v>
      </c>
    </row>
    <row r="3697" customFormat="false" ht="15" hidden="false" customHeight="false" outlineLevel="0" collapsed="false">
      <c r="K3697" s="24" t="n">
        <f aca="false">IF(Search!$B$3="",0,IF($A3697="",N(K3696),IF(ISNUMBER(SEARCH(Search!$B$3,$A3697&amp;"")),N(K3696)+1,N(K3696))))</f>
        <v>0</v>
      </c>
    </row>
    <row r="3698" customFormat="false" ht="15" hidden="false" customHeight="false" outlineLevel="0" collapsed="false">
      <c r="K3698" s="24" t="n">
        <f aca="false">IF(Search!$B$3="",0,IF($A3698="",N(K3697),IF(ISNUMBER(SEARCH(Search!$B$3,$A3698&amp;"")),N(K3697)+1,N(K3697))))</f>
        <v>0</v>
      </c>
    </row>
    <row r="3699" customFormat="false" ht="15" hidden="false" customHeight="false" outlineLevel="0" collapsed="false">
      <c r="K3699" s="24" t="n">
        <f aca="false">IF(Search!$B$3="",0,IF($A3699="",N(K3698),IF(ISNUMBER(SEARCH(Search!$B$3,$A3699&amp;"")),N(K3698)+1,N(K3698))))</f>
        <v>0</v>
      </c>
    </row>
    <row r="3700" customFormat="false" ht="15" hidden="false" customHeight="false" outlineLevel="0" collapsed="false">
      <c r="K3700" s="24" t="n">
        <f aca="false">IF(Search!$B$3="",0,IF($A3700="",N(K3699),IF(ISNUMBER(SEARCH(Search!$B$3,$A3700&amp;"")),N(K3699)+1,N(K3699))))</f>
        <v>0</v>
      </c>
    </row>
    <row r="3701" customFormat="false" ht="15" hidden="false" customHeight="false" outlineLevel="0" collapsed="false">
      <c r="K3701" s="24" t="n">
        <f aca="false">IF(Search!$B$3="",0,IF($A3701="",N(K3700),IF(ISNUMBER(SEARCH(Search!$B$3,$A3701&amp;"")),N(K3700)+1,N(K3700))))</f>
        <v>0</v>
      </c>
    </row>
    <row r="3702" customFormat="false" ht="15" hidden="false" customHeight="false" outlineLevel="0" collapsed="false">
      <c r="K3702" s="24" t="n">
        <f aca="false">IF(Search!$B$3="",0,IF($A3702="",N(K3701),IF(ISNUMBER(SEARCH(Search!$B$3,$A3702&amp;"")),N(K3701)+1,N(K3701))))</f>
        <v>0</v>
      </c>
    </row>
    <row r="3703" customFormat="false" ht="15" hidden="false" customHeight="false" outlineLevel="0" collapsed="false">
      <c r="K3703" s="24" t="n">
        <f aca="false">IF(Search!$B$3="",0,IF($A3703="",N(K3702),IF(ISNUMBER(SEARCH(Search!$B$3,$A3703&amp;"")),N(K3702)+1,N(K3702))))</f>
        <v>0</v>
      </c>
    </row>
    <row r="3704" customFormat="false" ht="15" hidden="false" customHeight="false" outlineLevel="0" collapsed="false">
      <c r="K3704" s="24" t="n">
        <f aca="false">IF(Search!$B$3="",0,IF($A3704="",N(K3703),IF(ISNUMBER(SEARCH(Search!$B$3,$A3704&amp;"")),N(K3703)+1,N(K3703))))</f>
        <v>0</v>
      </c>
    </row>
    <row r="3705" customFormat="false" ht="15" hidden="false" customHeight="false" outlineLevel="0" collapsed="false">
      <c r="K3705" s="24" t="n">
        <f aca="false">IF(Search!$B$3="",0,IF($A3705="",N(K3704),IF(ISNUMBER(SEARCH(Search!$B$3,$A3705&amp;"")),N(K3704)+1,N(K3704))))</f>
        <v>0</v>
      </c>
    </row>
    <row r="3706" customFormat="false" ht="15" hidden="false" customHeight="false" outlineLevel="0" collapsed="false">
      <c r="K3706" s="24" t="n">
        <f aca="false">IF(Search!$B$3="",0,IF($A3706="",N(K3705),IF(ISNUMBER(SEARCH(Search!$B$3,$A3706&amp;"")),N(K3705)+1,N(K3705))))</f>
        <v>0</v>
      </c>
    </row>
    <row r="3707" customFormat="false" ht="15" hidden="false" customHeight="false" outlineLevel="0" collapsed="false">
      <c r="K3707" s="24" t="n">
        <f aca="false">IF(Search!$B$3="",0,IF($A3707="",N(K3706),IF(ISNUMBER(SEARCH(Search!$B$3,$A3707&amp;"")),N(K3706)+1,N(K3706))))</f>
        <v>0</v>
      </c>
    </row>
    <row r="3708" customFormat="false" ht="15" hidden="false" customHeight="false" outlineLevel="0" collapsed="false">
      <c r="K3708" s="24" t="n">
        <f aca="false">IF(Search!$B$3="",0,IF($A3708="",N(K3707),IF(ISNUMBER(SEARCH(Search!$B$3,$A3708&amp;"")),N(K3707)+1,N(K3707))))</f>
        <v>0</v>
      </c>
    </row>
    <row r="3709" customFormat="false" ht="15" hidden="false" customHeight="false" outlineLevel="0" collapsed="false">
      <c r="K3709" s="24" t="n">
        <f aca="false">IF(Search!$B$3="",0,IF($A3709="",N(K3708),IF(ISNUMBER(SEARCH(Search!$B$3,$A3709&amp;"")),N(K3708)+1,N(K3708))))</f>
        <v>0</v>
      </c>
    </row>
    <row r="3710" customFormat="false" ht="15" hidden="false" customHeight="false" outlineLevel="0" collapsed="false">
      <c r="K3710" s="24" t="n">
        <f aca="false">IF(Search!$B$3="",0,IF($A3710="",N(K3709),IF(ISNUMBER(SEARCH(Search!$B$3,$A3710&amp;"")),N(K3709)+1,N(K3709))))</f>
        <v>0</v>
      </c>
    </row>
    <row r="3711" customFormat="false" ht="15" hidden="false" customHeight="false" outlineLevel="0" collapsed="false">
      <c r="K3711" s="24" t="n">
        <f aca="false">IF(Search!$B$3="",0,IF($A3711="",N(K3710),IF(ISNUMBER(SEARCH(Search!$B$3,$A3711&amp;"")),N(K3710)+1,N(K3710))))</f>
        <v>0</v>
      </c>
    </row>
    <row r="3712" customFormat="false" ht="15" hidden="false" customHeight="false" outlineLevel="0" collapsed="false">
      <c r="K3712" s="24" t="n">
        <f aca="false">IF(Search!$B$3="",0,IF($A3712="",N(K3711),IF(ISNUMBER(SEARCH(Search!$B$3,$A3712&amp;"")),N(K3711)+1,N(K3711))))</f>
        <v>0</v>
      </c>
    </row>
    <row r="3713" customFormat="false" ht="15" hidden="false" customHeight="false" outlineLevel="0" collapsed="false">
      <c r="K3713" s="24" t="n">
        <f aca="false">IF(Search!$B$3="",0,IF($A3713="",N(K3712),IF(ISNUMBER(SEARCH(Search!$B$3,$A3713&amp;"")),N(K3712)+1,N(K3712))))</f>
        <v>0</v>
      </c>
    </row>
    <row r="3714" customFormat="false" ht="15" hidden="false" customHeight="false" outlineLevel="0" collapsed="false">
      <c r="K3714" s="24" t="n">
        <f aca="false">IF(Search!$B$3="",0,IF($A3714="",N(K3713),IF(ISNUMBER(SEARCH(Search!$B$3,$A3714&amp;"")),N(K3713)+1,N(K3713))))</f>
        <v>0</v>
      </c>
    </row>
    <row r="3715" customFormat="false" ht="15" hidden="false" customHeight="false" outlineLevel="0" collapsed="false">
      <c r="K3715" s="24" t="n">
        <f aca="false">IF(Search!$B$3="",0,IF($A3715="",N(K3714),IF(ISNUMBER(SEARCH(Search!$B$3,$A3715&amp;"")),N(K3714)+1,N(K3714))))</f>
        <v>0</v>
      </c>
    </row>
    <row r="3716" customFormat="false" ht="15" hidden="false" customHeight="false" outlineLevel="0" collapsed="false">
      <c r="K3716" s="24" t="n">
        <f aca="false">IF(Search!$B$3="",0,IF($A3716="",N(K3715),IF(ISNUMBER(SEARCH(Search!$B$3,$A3716&amp;"")),N(K3715)+1,N(K3715))))</f>
        <v>0</v>
      </c>
    </row>
    <row r="3717" customFormat="false" ht="15" hidden="false" customHeight="false" outlineLevel="0" collapsed="false">
      <c r="K3717" s="24" t="n">
        <f aca="false">IF(Search!$B$3="",0,IF($A3717="",N(K3716),IF(ISNUMBER(SEARCH(Search!$B$3,$A3717&amp;"")),N(K3716)+1,N(K3716))))</f>
        <v>0</v>
      </c>
    </row>
    <row r="3718" customFormat="false" ht="15" hidden="false" customHeight="false" outlineLevel="0" collapsed="false">
      <c r="K3718" s="24" t="n">
        <f aca="false">IF(Search!$B$3="",0,IF($A3718="",N(K3717),IF(ISNUMBER(SEARCH(Search!$B$3,$A3718&amp;"")),N(K3717)+1,N(K3717))))</f>
        <v>0</v>
      </c>
    </row>
    <row r="3719" customFormat="false" ht="15" hidden="false" customHeight="false" outlineLevel="0" collapsed="false">
      <c r="K3719" s="24" t="n">
        <f aca="false">IF(Search!$B$3="",0,IF($A3719="",N(K3718),IF(ISNUMBER(SEARCH(Search!$B$3,$A3719&amp;"")),N(K3718)+1,N(K3718))))</f>
        <v>0</v>
      </c>
    </row>
    <row r="3720" customFormat="false" ht="15" hidden="false" customHeight="false" outlineLevel="0" collapsed="false">
      <c r="K3720" s="24" t="n">
        <f aca="false">IF(Search!$B$3="",0,IF($A3720="",N(K3719),IF(ISNUMBER(SEARCH(Search!$B$3,$A3720&amp;"")),N(K3719)+1,N(K3719))))</f>
        <v>0</v>
      </c>
    </row>
    <row r="3721" customFormat="false" ht="15" hidden="false" customHeight="false" outlineLevel="0" collapsed="false">
      <c r="K3721" s="24" t="n">
        <f aca="false">IF(Search!$B$3="",0,IF($A3721="",N(K3720),IF(ISNUMBER(SEARCH(Search!$B$3,$A3721&amp;"")),N(K3720)+1,N(K3720))))</f>
        <v>0</v>
      </c>
    </row>
    <row r="3722" customFormat="false" ht="15" hidden="false" customHeight="false" outlineLevel="0" collapsed="false">
      <c r="K3722" s="24" t="n">
        <f aca="false">IF(Search!$B$3="",0,IF($A3722="",N(K3721),IF(ISNUMBER(SEARCH(Search!$B$3,$A3722&amp;"")),N(K3721)+1,N(K3721))))</f>
        <v>0</v>
      </c>
    </row>
    <row r="3723" customFormat="false" ht="15" hidden="false" customHeight="false" outlineLevel="0" collapsed="false">
      <c r="K3723" s="24" t="n">
        <f aca="false">IF(Search!$B$3="",0,IF($A3723="",N(K3722),IF(ISNUMBER(SEARCH(Search!$B$3,$A3723&amp;"")),N(K3722)+1,N(K3722))))</f>
        <v>0</v>
      </c>
    </row>
    <row r="3724" customFormat="false" ht="15" hidden="false" customHeight="false" outlineLevel="0" collapsed="false">
      <c r="K3724" s="24" t="n">
        <f aca="false">IF(Search!$B$3="",0,IF($A3724="",N(K3723),IF(ISNUMBER(SEARCH(Search!$B$3,$A3724&amp;"")),N(K3723)+1,N(K3723))))</f>
        <v>0</v>
      </c>
    </row>
    <row r="3725" customFormat="false" ht="15" hidden="false" customHeight="false" outlineLevel="0" collapsed="false">
      <c r="K3725" s="24" t="n">
        <f aca="false">IF(Search!$B$3="",0,IF($A3725="",N(K3724),IF(ISNUMBER(SEARCH(Search!$B$3,$A3725&amp;"")),N(K3724)+1,N(K3724))))</f>
        <v>0</v>
      </c>
    </row>
    <row r="3726" customFormat="false" ht="15" hidden="false" customHeight="false" outlineLevel="0" collapsed="false">
      <c r="K3726" s="24" t="n">
        <f aca="false">IF(Search!$B$3="",0,IF($A3726="",N(K3725),IF(ISNUMBER(SEARCH(Search!$B$3,$A3726&amp;"")),N(K3725)+1,N(K3725))))</f>
        <v>0</v>
      </c>
    </row>
    <row r="3727" customFormat="false" ht="15" hidden="false" customHeight="false" outlineLevel="0" collapsed="false">
      <c r="K3727" s="24" t="n">
        <f aca="false">IF(Search!$B$3="",0,IF($A3727="",N(K3726),IF(ISNUMBER(SEARCH(Search!$B$3,$A3727&amp;"")),N(K3726)+1,N(K3726))))</f>
        <v>0</v>
      </c>
    </row>
    <row r="3728" customFormat="false" ht="15" hidden="false" customHeight="false" outlineLevel="0" collapsed="false">
      <c r="K3728" s="24" t="n">
        <f aca="false">IF(Search!$B$3="",0,IF($A3728="",N(K3727),IF(ISNUMBER(SEARCH(Search!$B$3,$A3728&amp;"")),N(K3727)+1,N(K3727))))</f>
        <v>0</v>
      </c>
    </row>
    <row r="3729" customFormat="false" ht="15" hidden="false" customHeight="false" outlineLevel="0" collapsed="false">
      <c r="K3729" s="24" t="n">
        <f aca="false">IF(Search!$B$3="",0,IF($A3729="",N(K3728),IF(ISNUMBER(SEARCH(Search!$B$3,$A3729&amp;"")),N(K3728)+1,N(K3728))))</f>
        <v>0</v>
      </c>
    </row>
    <row r="3730" customFormat="false" ht="15" hidden="false" customHeight="false" outlineLevel="0" collapsed="false">
      <c r="K3730" s="24" t="n">
        <f aca="false">IF(Search!$B$3="",0,IF($A3730="",N(K3729),IF(ISNUMBER(SEARCH(Search!$B$3,$A3730&amp;"")),N(K3729)+1,N(K3729))))</f>
        <v>0</v>
      </c>
    </row>
    <row r="3731" customFormat="false" ht="15" hidden="false" customHeight="false" outlineLevel="0" collapsed="false">
      <c r="K3731" s="24" t="n">
        <f aca="false">IF(Search!$B$3="",0,IF($A3731="",N(K3730),IF(ISNUMBER(SEARCH(Search!$B$3,$A3731&amp;"")),N(K3730)+1,N(K3730))))</f>
        <v>0</v>
      </c>
    </row>
    <row r="3732" customFormat="false" ht="15" hidden="false" customHeight="false" outlineLevel="0" collapsed="false">
      <c r="K3732" s="24" t="n">
        <f aca="false">IF(Search!$B$3="",0,IF($A3732="",N(K3731),IF(ISNUMBER(SEARCH(Search!$B$3,$A3732&amp;"")),N(K3731)+1,N(K3731))))</f>
        <v>0</v>
      </c>
    </row>
    <row r="3733" customFormat="false" ht="15" hidden="false" customHeight="false" outlineLevel="0" collapsed="false">
      <c r="K3733" s="24" t="n">
        <f aca="false">IF(Search!$B$3="",0,IF($A3733="",N(K3732),IF(ISNUMBER(SEARCH(Search!$B$3,$A3733&amp;"")),N(K3732)+1,N(K3732))))</f>
        <v>0</v>
      </c>
    </row>
    <row r="3734" customFormat="false" ht="15" hidden="false" customHeight="false" outlineLevel="0" collapsed="false">
      <c r="K3734" s="24" t="n">
        <f aca="false">IF(Search!$B$3="",0,IF($A3734="",N(K3733),IF(ISNUMBER(SEARCH(Search!$B$3,$A3734&amp;"")),N(K3733)+1,N(K3733))))</f>
        <v>0</v>
      </c>
    </row>
    <row r="3735" customFormat="false" ht="15" hidden="false" customHeight="false" outlineLevel="0" collapsed="false">
      <c r="K3735" s="24" t="n">
        <f aca="false">IF(Search!$B$3="",0,IF($A3735="",N(K3734),IF(ISNUMBER(SEARCH(Search!$B$3,$A3735&amp;"")),N(K3734)+1,N(K3734))))</f>
        <v>0</v>
      </c>
    </row>
    <row r="3736" customFormat="false" ht="15" hidden="false" customHeight="false" outlineLevel="0" collapsed="false">
      <c r="K3736" s="24" t="n">
        <f aca="false">IF(Search!$B$3="",0,IF($A3736="",N(K3735),IF(ISNUMBER(SEARCH(Search!$B$3,$A3736&amp;"")),N(K3735)+1,N(K3735))))</f>
        <v>0</v>
      </c>
    </row>
    <row r="3737" customFormat="false" ht="15" hidden="false" customHeight="false" outlineLevel="0" collapsed="false">
      <c r="K3737" s="24" t="n">
        <f aca="false">IF(Search!$B$3="",0,IF($A3737="",N(K3736),IF(ISNUMBER(SEARCH(Search!$B$3,$A3737&amp;"")),N(K3736)+1,N(K3736))))</f>
        <v>0</v>
      </c>
    </row>
    <row r="3738" customFormat="false" ht="15" hidden="false" customHeight="false" outlineLevel="0" collapsed="false">
      <c r="K3738" s="24" t="n">
        <f aca="false">IF(Search!$B$3="",0,IF($A3738="",N(K3737),IF(ISNUMBER(SEARCH(Search!$B$3,$A3738&amp;"")),N(K3737)+1,N(K3737))))</f>
        <v>0</v>
      </c>
    </row>
    <row r="3739" customFormat="false" ht="15" hidden="false" customHeight="false" outlineLevel="0" collapsed="false">
      <c r="K3739" s="24" t="n">
        <f aca="false">IF(Search!$B$3="",0,IF($A3739="",N(K3738),IF(ISNUMBER(SEARCH(Search!$B$3,$A3739&amp;"")),N(K3738)+1,N(K3738))))</f>
        <v>0</v>
      </c>
    </row>
    <row r="3740" customFormat="false" ht="15" hidden="false" customHeight="false" outlineLevel="0" collapsed="false">
      <c r="K3740" s="24" t="n">
        <f aca="false">IF(Search!$B$3="",0,IF($A3740="",N(K3739),IF(ISNUMBER(SEARCH(Search!$B$3,$A3740&amp;"")),N(K3739)+1,N(K3739))))</f>
        <v>0</v>
      </c>
    </row>
    <row r="3741" customFormat="false" ht="15" hidden="false" customHeight="false" outlineLevel="0" collapsed="false">
      <c r="K3741" s="24" t="n">
        <f aca="false">IF(Search!$B$3="",0,IF($A3741="",N(K3740),IF(ISNUMBER(SEARCH(Search!$B$3,$A3741&amp;"")),N(K3740)+1,N(K3740))))</f>
        <v>0</v>
      </c>
    </row>
    <row r="3742" customFormat="false" ht="15" hidden="false" customHeight="false" outlineLevel="0" collapsed="false">
      <c r="K3742" s="24" t="n">
        <f aca="false">IF(Search!$B$3="",0,IF($A3742="",N(K3741),IF(ISNUMBER(SEARCH(Search!$B$3,$A3742&amp;"")),N(K3741)+1,N(K3741))))</f>
        <v>0</v>
      </c>
    </row>
    <row r="3743" customFormat="false" ht="15" hidden="false" customHeight="false" outlineLevel="0" collapsed="false">
      <c r="K3743" s="24" t="n">
        <f aca="false">IF(Search!$B$3="",0,IF($A3743="",N(K3742),IF(ISNUMBER(SEARCH(Search!$B$3,$A3743&amp;"")),N(K3742)+1,N(K3742))))</f>
        <v>0</v>
      </c>
    </row>
    <row r="3744" customFormat="false" ht="15" hidden="false" customHeight="false" outlineLevel="0" collapsed="false">
      <c r="K3744" s="24" t="n">
        <f aca="false">IF(Search!$B$3="",0,IF($A3744="",N(K3743),IF(ISNUMBER(SEARCH(Search!$B$3,$A3744&amp;"")),N(K3743)+1,N(K3743))))</f>
        <v>0</v>
      </c>
    </row>
    <row r="3745" customFormat="false" ht="15" hidden="false" customHeight="false" outlineLevel="0" collapsed="false">
      <c r="K3745" s="24" t="n">
        <f aca="false">IF(Search!$B$3="",0,IF($A3745="",N(K3744),IF(ISNUMBER(SEARCH(Search!$B$3,$A3745&amp;"")),N(K3744)+1,N(K3744))))</f>
        <v>0</v>
      </c>
    </row>
    <row r="3746" customFormat="false" ht="15" hidden="false" customHeight="false" outlineLevel="0" collapsed="false">
      <c r="K3746" s="24" t="n">
        <f aca="false">IF(Search!$B$3="",0,IF($A3746="",N(K3745),IF(ISNUMBER(SEARCH(Search!$B$3,$A3746&amp;"")),N(K3745)+1,N(K3745))))</f>
        <v>0</v>
      </c>
    </row>
    <row r="3747" customFormat="false" ht="15" hidden="false" customHeight="false" outlineLevel="0" collapsed="false">
      <c r="K3747" s="24" t="n">
        <f aca="false">IF(Search!$B$3="",0,IF($A3747="",N(K3746),IF(ISNUMBER(SEARCH(Search!$B$3,$A3747&amp;"")),N(K3746)+1,N(K3746))))</f>
        <v>0</v>
      </c>
    </row>
    <row r="3748" customFormat="false" ht="15" hidden="false" customHeight="false" outlineLevel="0" collapsed="false">
      <c r="K3748" s="24" t="n">
        <f aca="false">IF(Search!$B$3="",0,IF($A3748="",N(K3747),IF(ISNUMBER(SEARCH(Search!$B$3,$A3748&amp;"")),N(K3747)+1,N(K3747))))</f>
        <v>0</v>
      </c>
    </row>
    <row r="3749" customFormat="false" ht="15" hidden="false" customHeight="false" outlineLevel="0" collapsed="false">
      <c r="K3749" s="24" t="n">
        <f aca="false">IF(Search!$B$3="",0,IF($A3749="",N(K3748),IF(ISNUMBER(SEARCH(Search!$B$3,$A3749&amp;"")),N(K3748)+1,N(K3748))))</f>
        <v>0</v>
      </c>
    </row>
    <row r="3750" customFormat="false" ht="15" hidden="false" customHeight="false" outlineLevel="0" collapsed="false">
      <c r="K3750" s="24" t="n">
        <f aca="false">IF(Search!$B$3="",0,IF($A3750="",N(K3749),IF(ISNUMBER(SEARCH(Search!$B$3,$A3750&amp;"")),N(K3749)+1,N(K3749))))</f>
        <v>0</v>
      </c>
    </row>
    <row r="3751" customFormat="false" ht="15" hidden="false" customHeight="false" outlineLevel="0" collapsed="false">
      <c r="K3751" s="24" t="n">
        <f aca="false">IF(Search!$B$3="",0,IF($A3751="",N(K3750),IF(ISNUMBER(SEARCH(Search!$B$3,$A3751&amp;"")),N(K3750)+1,N(K3750))))</f>
        <v>0</v>
      </c>
    </row>
    <row r="3752" customFormat="false" ht="15" hidden="false" customHeight="false" outlineLevel="0" collapsed="false">
      <c r="K3752" s="24" t="n">
        <f aca="false">IF(Search!$B$3="",0,IF($A3752="",N(K3751),IF(ISNUMBER(SEARCH(Search!$B$3,$A3752&amp;"")),N(K3751)+1,N(K3751))))</f>
        <v>0</v>
      </c>
    </row>
    <row r="3753" customFormat="false" ht="15" hidden="false" customHeight="false" outlineLevel="0" collapsed="false">
      <c r="K3753" s="24" t="n">
        <f aca="false">IF(Search!$B$3="",0,IF($A3753="",N(K3752),IF(ISNUMBER(SEARCH(Search!$B$3,$A3753&amp;"")),N(K3752)+1,N(K3752))))</f>
        <v>0</v>
      </c>
    </row>
    <row r="3754" customFormat="false" ht="15" hidden="false" customHeight="false" outlineLevel="0" collapsed="false">
      <c r="K3754" s="24" t="n">
        <f aca="false">IF(Search!$B$3="",0,IF($A3754="",N(K3753),IF(ISNUMBER(SEARCH(Search!$B$3,$A3754&amp;"")),N(K3753)+1,N(K3753))))</f>
        <v>0</v>
      </c>
    </row>
    <row r="3755" customFormat="false" ht="15" hidden="false" customHeight="false" outlineLevel="0" collapsed="false">
      <c r="K3755" s="24" t="n">
        <f aca="false">IF(Search!$B$3="",0,IF($A3755="",N(K3754),IF(ISNUMBER(SEARCH(Search!$B$3,$A3755&amp;"")),N(K3754)+1,N(K3754))))</f>
        <v>0</v>
      </c>
    </row>
    <row r="3756" customFormat="false" ht="15" hidden="false" customHeight="false" outlineLevel="0" collapsed="false">
      <c r="K3756" s="24" t="n">
        <f aca="false">IF(Search!$B$3="",0,IF($A3756="",N(K3755),IF(ISNUMBER(SEARCH(Search!$B$3,$A3756&amp;"")),N(K3755)+1,N(K3755))))</f>
        <v>0</v>
      </c>
    </row>
    <row r="3757" customFormat="false" ht="15" hidden="false" customHeight="false" outlineLevel="0" collapsed="false">
      <c r="K3757" s="24" t="n">
        <f aca="false">IF(Search!$B$3="",0,IF($A3757="",N(K3756),IF(ISNUMBER(SEARCH(Search!$B$3,$A3757&amp;"")),N(K3756)+1,N(K3756))))</f>
        <v>0</v>
      </c>
    </row>
    <row r="3758" customFormat="false" ht="15" hidden="false" customHeight="false" outlineLevel="0" collapsed="false">
      <c r="K3758" s="24" t="n">
        <f aca="false">IF(Search!$B$3="",0,IF($A3758="",N(K3757),IF(ISNUMBER(SEARCH(Search!$B$3,$A3758&amp;"")),N(K3757)+1,N(K3757))))</f>
        <v>0</v>
      </c>
    </row>
    <row r="3759" customFormat="false" ht="15" hidden="false" customHeight="false" outlineLevel="0" collapsed="false">
      <c r="K3759" s="24" t="n">
        <f aca="false">IF(Search!$B$3="",0,IF($A3759="",N(K3758),IF(ISNUMBER(SEARCH(Search!$B$3,$A3759&amp;"")),N(K3758)+1,N(K3758))))</f>
        <v>0</v>
      </c>
    </row>
    <row r="3760" customFormat="false" ht="15" hidden="false" customHeight="false" outlineLevel="0" collapsed="false">
      <c r="K3760" s="24" t="n">
        <f aca="false">IF(Search!$B$3="",0,IF($A3760="",N(K3759),IF(ISNUMBER(SEARCH(Search!$B$3,$A3760&amp;"")),N(K3759)+1,N(K3759))))</f>
        <v>0</v>
      </c>
    </row>
    <row r="3761" customFormat="false" ht="15" hidden="false" customHeight="false" outlineLevel="0" collapsed="false">
      <c r="K3761" s="24" t="n">
        <f aca="false">IF(Search!$B$3="",0,IF($A3761="",N(K3760),IF(ISNUMBER(SEARCH(Search!$B$3,$A3761&amp;"")),N(K3760)+1,N(K3760))))</f>
        <v>0</v>
      </c>
    </row>
    <row r="3762" customFormat="false" ht="15" hidden="false" customHeight="false" outlineLevel="0" collapsed="false">
      <c r="K3762" s="24" t="n">
        <f aca="false">IF(Search!$B$3="",0,IF($A3762="",N(K3761),IF(ISNUMBER(SEARCH(Search!$B$3,$A3762&amp;"")),N(K3761)+1,N(K3761))))</f>
        <v>0</v>
      </c>
    </row>
    <row r="3763" customFormat="false" ht="15" hidden="false" customHeight="false" outlineLevel="0" collapsed="false">
      <c r="K3763" s="24" t="n">
        <f aca="false">IF(Search!$B$3="",0,IF($A3763="",N(K3762),IF(ISNUMBER(SEARCH(Search!$B$3,$A3763&amp;"")),N(K3762)+1,N(K3762))))</f>
        <v>0</v>
      </c>
    </row>
    <row r="3764" customFormat="false" ht="15" hidden="false" customHeight="false" outlineLevel="0" collapsed="false">
      <c r="K3764" s="24" t="n">
        <f aca="false">IF(Search!$B$3="",0,IF($A3764="",N(K3763),IF(ISNUMBER(SEARCH(Search!$B$3,$A3764&amp;"")),N(K3763)+1,N(K3763))))</f>
        <v>0</v>
      </c>
    </row>
    <row r="3765" customFormat="false" ht="15" hidden="false" customHeight="false" outlineLevel="0" collapsed="false">
      <c r="K3765" s="24" t="n">
        <f aca="false">IF(Search!$B$3="",0,IF($A3765="",N(K3764),IF(ISNUMBER(SEARCH(Search!$B$3,$A3765&amp;"")),N(K3764)+1,N(K3764))))</f>
        <v>0</v>
      </c>
    </row>
    <row r="3766" customFormat="false" ht="15" hidden="false" customHeight="false" outlineLevel="0" collapsed="false">
      <c r="K3766" s="24" t="n">
        <f aca="false">IF(Search!$B$3="",0,IF($A3766="",N(K3765),IF(ISNUMBER(SEARCH(Search!$B$3,$A3766&amp;"")),N(K3765)+1,N(K3765))))</f>
        <v>0</v>
      </c>
    </row>
    <row r="3767" customFormat="false" ht="15" hidden="false" customHeight="false" outlineLevel="0" collapsed="false">
      <c r="K3767" s="24" t="n">
        <f aca="false">IF(Search!$B$3="",0,IF($A3767="",N(K3766),IF(ISNUMBER(SEARCH(Search!$B$3,$A3767&amp;"")),N(K3766)+1,N(K3766))))</f>
        <v>0</v>
      </c>
    </row>
    <row r="3768" customFormat="false" ht="15" hidden="false" customHeight="false" outlineLevel="0" collapsed="false">
      <c r="K3768" s="24" t="n">
        <f aca="false">IF(Search!$B$3="",0,IF($A3768="",N(K3767),IF(ISNUMBER(SEARCH(Search!$B$3,$A3768&amp;"")),N(K3767)+1,N(K3767))))</f>
        <v>0</v>
      </c>
    </row>
    <row r="3769" customFormat="false" ht="15" hidden="false" customHeight="false" outlineLevel="0" collapsed="false">
      <c r="K3769" s="24" t="n">
        <f aca="false">IF(Search!$B$3="",0,IF($A3769="",N(K3768),IF(ISNUMBER(SEARCH(Search!$B$3,$A3769&amp;"")),N(K3768)+1,N(K3768))))</f>
        <v>0</v>
      </c>
    </row>
    <row r="3770" customFormat="false" ht="15" hidden="false" customHeight="false" outlineLevel="0" collapsed="false">
      <c r="K3770" s="24" t="n">
        <f aca="false">IF(Search!$B$3="",0,IF($A3770="",N(K3769),IF(ISNUMBER(SEARCH(Search!$B$3,$A3770&amp;"")),N(K3769)+1,N(K3769))))</f>
        <v>0</v>
      </c>
    </row>
    <row r="3771" customFormat="false" ht="15" hidden="false" customHeight="false" outlineLevel="0" collapsed="false">
      <c r="K3771" s="24" t="n">
        <f aca="false">IF(Search!$B$3="",0,IF($A3771="",N(K3770),IF(ISNUMBER(SEARCH(Search!$B$3,$A3771&amp;"")),N(K3770)+1,N(K3770))))</f>
        <v>0</v>
      </c>
    </row>
    <row r="3772" customFormat="false" ht="15" hidden="false" customHeight="false" outlineLevel="0" collapsed="false">
      <c r="K3772" s="24" t="n">
        <f aca="false">IF(Search!$B$3="",0,IF($A3772="",N(K3771),IF(ISNUMBER(SEARCH(Search!$B$3,$A3772&amp;"")),N(K3771)+1,N(K3771))))</f>
        <v>0</v>
      </c>
    </row>
    <row r="3773" customFormat="false" ht="15" hidden="false" customHeight="false" outlineLevel="0" collapsed="false">
      <c r="K3773" s="24" t="n">
        <f aca="false">IF(Search!$B$3="",0,IF($A3773="",N(K3772),IF(ISNUMBER(SEARCH(Search!$B$3,$A3773&amp;"")),N(K3772)+1,N(K3772))))</f>
        <v>0</v>
      </c>
    </row>
    <row r="3774" customFormat="false" ht="15" hidden="false" customHeight="false" outlineLevel="0" collapsed="false">
      <c r="K3774" s="24" t="n">
        <f aca="false">IF(Search!$B$3="",0,IF($A3774="",N(K3773),IF(ISNUMBER(SEARCH(Search!$B$3,$A3774&amp;"")),N(K3773)+1,N(K3773))))</f>
        <v>0</v>
      </c>
    </row>
    <row r="3775" customFormat="false" ht="15" hidden="false" customHeight="false" outlineLevel="0" collapsed="false">
      <c r="K3775" s="24" t="n">
        <f aca="false">IF(Search!$B$3="",0,IF($A3775="",N(K3774),IF(ISNUMBER(SEARCH(Search!$B$3,$A3775&amp;"")),N(K3774)+1,N(K3774))))</f>
        <v>0</v>
      </c>
    </row>
    <row r="3776" customFormat="false" ht="15" hidden="false" customHeight="false" outlineLevel="0" collapsed="false">
      <c r="K3776" s="24" t="n">
        <f aca="false">IF(Search!$B$3="",0,IF($A3776="",N(K3775),IF(ISNUMBER(SEARCH(Search!$B$3,$A3776&amp;"")),N(K3775)+1,N(K3775))))</f>
        <v>0</v>
      </c>
    </row>
    <row r="3777" customFormat="false" ht="15" hidden="false" customHeight="false" outlineLevel="0" collapsed="false">
      <c r="K3777" s="24" t="n">
        <f aca="false">IF(Search!$B$3="",0,IF($A3777="",N(K3776),IF(ISNUMBER(SEARCH(Search!$B$3,$A3777&amp;"")),N(K3776)+1,N(K3776))))</f>
        <v>0</v>
      </c>
    </row>
    <row r="3778" customFormat="false" ht="15" hidden="false" customHeight="false" outlineLevel="0" collapsed="false">
      <c r="K3778" s="24" t="n">
        <f aca="false">IF(Search!$B$3="",0,IF($A3778="",N(K3777),IF(ISNUMBER(SEARCH(Search!$B$3,$A3778&amp;"")),N(K3777)+1,N(K3777))))</f>
        <v>0</v>
      </c>
    </row>
    <row r="3779" customFormat="false" ht="15" hidden="false" customHeight="false" outlineLevel="0" collapsed="false">
      <c r="K3779" s="24" t="n">
        <f aca="false">IF(Search!$B$3="",0,IF($A3779="",N(K3778),IF(ISNUMBER(SEARCH(Search!$B$3,$A3779&amp;"")),N(K3778)+1,N(K3778))))</f>
        <v>0</v>
      </c>
    </row>
    <row r="3780" customFormat="false" ht="15" hidden="false" customHeight="false" outlineLevel="0" collapsed="false">
      <c r="K3780" s="24" t="n">
        <f aca="false">IF(Search!$B$3="",0,IF($A3780="",N(K3779),IF(ISNUMBER(SEARCH(Search!$B$3,$A3780&amp;"")),N(K3779)+1,N(K3779))))</f>
        <v>0</v>
      </c>
    </row>
    <row r="3781" customFormat="false" ht="15" hidden="false" customHeight="false" outlineLevel="0" collapsed="false">
      <c r="K3781" s="24" t="n">
        <f aca="false">IF(Search!$B$3="",0,IF($A3781="",N(K3780),IF(ISNUMBER(SEARCH(Search!$B$3,$A3781&amp;"")),N(K3780)+1,N(K3780))))</f>
        <v>0</v>
      </c>
    </row>
    <row r="3782" customFormat="false" ht="15" hidden="false" customHeight="false" outlineLevel="0" collapsed="false">
      <c r="K3782" s="24" t="n">
        <f aca="false">IF(Search!$B$3="",0,IF($A3782="",N(K3781),IF(ISNUMBER(SEARCH(Search!$B$3,$A3782&amp;"")),N(K3781)+1,N(K3781))))</f>
        <v>0</v>
      </c>
    </row>
    <row r="3783" customFormat="false" ht="15" hidden="false" customHeight="false" outlineLevel="0" collapsed="false">
      <c r="K3783" s="24" t="n">
        <f aca="false">IF(Search!$B$3="",0,IF($A3783="",N(K3782),IF(ISNUMBER(SEARCH(Search!$B$3,$A3783&amp;"")),N(K3782)+1,N(K3782))))</f>
        <v>0</v>
      </c>
    </row>
    <row r="3784" customFormat="false" ht="15" hidden="false" customHeight="false" outlineLevel="0" collapsed="false">
      <c r="K3784" s="24" t="n">
        <f aca="false">IF(Search!$B$3="",0,IF($A3784="",N(K3783),IF(ISNUMBER(SEARCH(Search!$B$3,$A3784&amp;"")),N(K3783)+1,N(K3783))))</f>
        <v>0</v>
      </c>
    </row>
    <row r="3785" customFormat="false" ht="15" hidden="false" customHeight="false" outlineLevel="0" collapsed="false">
      <c r="K3785" s="24" t="n">
        <f aca="false">IF(Search!$B$3="",0,IF($A3785="",N(K3784),IF(ISNUMBER(SEARCH(Search!$B$3,$A3785&amp;"")),N(K3784)+1,N(K3784))))</f>
        <v>0</v>
      </c>
    </row>
    <row r="3786" customFormat="false" ht="15" hidden="false" customHeight="false" outlineLevel="0" collapsed="false">
      <c r="K3786" s="24" t="n">
        <f aca="false">IF(Search!$B$3="",0,IF($A3786="",N(K3785),IF(ISNUMBER(SEARCH(Search!$B$3,$A3786&amp;"")),N(K3785)+1,N(K3785))))</f>
        <v>0</v>
      </c>
    </row>
    <row r="3787" customFormat="false" ht="15" hidden="false" customHeight="false" outlineLevel="0" collapsed="false">
      <c r="K3787" s="24" t="n">
        <f aca="false">IF(Search!$B$3="",0,IF($A3787="",N(K3786),IF(ISNUMBER(SEARCH(Search!$B$3,$A3787&amp;"")),N(K3786)+1,N(K3786))))</f>
        <v>0</v>
      </c>
    </row>
    <row r="3788" customFormat="false" ht="15" hidden="false" customHeight="false" outlineLevel="0" collapsed="false">
      <c r="K3788" s="24" t="n">
        <f aca="false">IF(Search!$B$3="",0,IF($A3788="",N(K3787),IF(ISNUMBER(SEARCH(Search!$B$3,$A3788&amp;"")),N(K3787)+1,N(K3787))))</f>
        <v>0</v>
      </c>
    </row>
    <row r="3789" customFormat="false" ht="15" hidden="false" customHeight="false" outlineLevel="0" collapsed="false">
      <c r="K3789" s="24" t="n">
        <f aca="false">IF(Search!$B$3="",0,IF($A3789="",N(K3788),IF(ISNUMBER(SEARCH(Search!$B$3,$A3789&amp;"")),N(K3788)+1,N(K3788))))</f>
        <v>0</v>
      </c>
    </row>
    <row r="3790" customFormat="false" ht="15" hidden="false" customHeight="false" outlineLevel="0" collapsed="false">
      <c r="K3790" s="24" t="n">
        <f aca="false">IF(Search!$B$3="",0,IF($A3790="",N(K3789),IF(ISNUMBER(SEARCH(Search!$B$3,$A3790&amp;"")),N(K3789)+1,N(K3789))))</f>
        <v>0</v>
      </c>
    </row>
    <row r="3791" customFormat="false" ht="15" hidden="false" customHeight="false" outlineLevel="0" collapsed="false">
      <c r="K3791" s="24" t="n">
        <f aca="false">IF(Search!$B$3="",0,IF($A3791="",N(K3790),IF(ISNUMBER(SEARCH(Search!$B$3,$A3791&amp;"")),N(K3790)+1,N(K3790))))</f>
        <v>0</v>
      </c>
    </row>
    <row r="3792" customFormat="false" ht="15" hidden="false" customHeight="false" outlineLevel="0" collapsed="false">
      <c r="K3792" s="24" t="n">
        <f aca="false">IF(Search!$B$3="",0,IF($A3792="",N(K3791),IF(ISNUMBER(SEARCH(Search!$B$3,$A3792&amp;"")),N(K3791)+1,N(K3791))))</f>
        <v>0</v>
      </c>
    </row>
    <row r="3793" customFormat="false" ht="15" hidden="false" customHeight="false" outlineLevel="0" collapsed="false">
      <c r="K3793" s="24" t="n">
        <f aca="false">IF(Search!$B$3="",0,IF($A3793="",N(K3792),IF(ISNUMBER(SEARCH(Search!$B$3,$A3793&amp;"")),N(K3792)+1,N(K3792))))</f>
        <v>0</v>
      </c>
    </row>
    <row r="3794" customFormat="false" ht="15" hidden="false" customHeight="false" outlineLevel="0" collapsed="false">
      <c r="K3794" s="24" t="n">
        <f aca="false">IF(Search!$B$3="",0,IF($A3794="",N(K3793),IF(ISNUMBER(SEARCH(Search!$B$3,$A3794&amp;"")),N(K3793)+1,N(K3793))))</f>
        <v>0</v>
      </c>
    </row>
    <row r="3795" customFormat="false" ht="15" hidden="false" customHeight="false" outlineLevel="0" collapsed="false">
      <c r="K3795" s="24" t="n">
        <f aca="false">IF(Search!$B$3="",0,IF($A3795="",N(K3794),IF(ISNUMBER(SEARCH(Search!$B$3,$A3795&amp;"")),N(K3794)+1,N(K3794))))</f>
        <v>0</v>
      </c>
    </row>
    <row r="3796" customFormat="false" ht="15" hidden="false" customHeight="false" outlineLevel="0" collapsed="false">
      <c r="K3796" s="24" t="n">
        <f aca="false">IF(Search!$B$3="",0,IF($A3796="",N(K3795),IF(ISNUMBER(SEARCH(Search!$B$3,$A3796&amp;"")),N(K3795)+1,N(K3795))))</f>
        <v>0</v>
      </c>
    </row>
    <row r="3797" customFormat="false" ht="15" hidden="false" customHeight="false" outlineLevel="0" collapsed="false">
      <c r="K3797" s="24" t="n">
        <f aca="false">IF(Search!$B$3="",0,IF($A3797="",N(K3796),IF(ISNUMBER(SEARCH(Search!$B$3,$A3797&amp;"")),N(K3796)+1,N(K3796))))</f>
        <v>0</v>
      </c>
    </row>
    <row r="3798" customFormat="false" ht="15" hidden="false" customHeight="false" outlineLevel="0" collapsed="false">
      <c r="K3798" s="24" t="n">
        <f aca="false">IF(Search!$B$3="",0,IF($A3798="",N(K3797),IF(ISNUMBER(SEARCH(Search!$B$3,$A3798&amp;"")),N(K3797)+1,N(K3797))))</f>
        <v>0</v>
      </c>
    </row>
    <row r="3799" customFormat="false" ht="15" hidden="false" customHeight="false" outlineLevel="0" collapsed="false">
      <c r="K3799" s="24" t="n">
        <f aca="false">IF(Search!$B$3="",0,IF($A3799="",N(K3798),IF(ISNUMBER(SEARCH(Search!$B$3,$A3799&amp;"")),N(K3798)+1,N(K3798))))</f>
        <v>0</v>
      </c>
    </row>
    <row r="3800" customFormat="false" ht="15" hidden="false" customHeight="false" outlineLevel="0" collapsed="false">
      <c r="K3800" s="24" t="n">
        <f aca="false">IF(Search!$B$3="",0,IF($A3800="",N(K3799),IF(ISNUMBER(SEARCH(Search!$B$3,$A3800&amp;"")),N(K3799)+1,N(K3799))))</f>
        <v>0</v>
      </c>
    </row>
    <row r="3801" customFormat="false" ht="15" hidden="false" customHeight="false" outlineLevel="0" collapsed="false">
      <c r="K3801" s="24" t="n">
        <f aca="false">IF(Search!$B$3="",0,IF($A3801="",N(K3800),IF(ISNUMBER(SEARCH(Search!$B$3,$A3801&amp;"")),N(K3800)+1,N(K3800))))</f>
        <v>0</v>
      </c>
    </row>
    <row r="3802" customFormat="false" ht="15" hidden="false" customHeight="false" outlineLevel="0" collapsed="false">
      <c r="K3802" s="24" t="n">
        <f aca="false">IF(Search!$B$3="",0,IF($A3802="",N(K3801),IF(ISNUMBER(SEARCH(Search!$B$3,$A3802&amp;"")),N(K3801)+1,N(K3801))))</f>
        <v>0</v>
      </c>
    </row>
    <row r="3803" customFormat="false" ht="15" hidden="false" customHeight="false" outlineLevel="0" collapsed="false">
      <c r="K3803" s="24" t="n">
        <f aca="false">IF(Search!$B$3="",0,IF($A3803="",N(K3802),IF(ISNUMBER(SEARCH(Search!$B$3,$A3803&amp;"")),N(K3802)+1,N(K3802))))</f>
        <v>0</v>
      </c>
    </row>
    <row r="3804" customFormat="false" ht="15" hidden="false" customHeight="false" outlineLevel="0" collapsed="false">
      <c r="K3804" s="24" t="n">
        <f aca="false">IF(Search!$B$3="",0,IF($A3804="",N(K3803),IF(ISNUMBER(SEARCH(Search!$B$3,$A3804&amp;"")),N(K3803)+1,N(K3803))))</f>
        <v>0</v>
      </c>
    </row>
    <row r="3805" customFormat="false" ht="15" hidden="false" customHeight="false" outlineLevel="0" collapsed="false">
      <c r="K3805" s="24" t="n">
        <f aca="false">IF(Search!$B$3="",0,IF($A3805="",N(K3804),IF(ISNUMBER(SEARCH(Search!$B$3,$A3805&amp;"")),N(K3804)+1,N(K3804))))</f>
        <v>0</v>
      </c>
    </row>
    <row r="3806" customFormat="false" ht="15" hidden="false" customHeight="false" outlineLevel="0" collapsed="false">
      <c r="K3806" s="24" t="n">
        <f aca="false">IF(Search!$B$3="",0,IF($A3806="",N(K3805),IF(ISNUMBER(SEARCH(Search!$B$3,$A3806&amp;"")),N(K3805)+1,N(K3805))))</f>
        <v>0</v>
      </c>
    </row>
    <row r="3807" customFormat="false" ht="15" hidden="false" customHeight="false" outlineLevel="0" collapsed="false">
      <c r="K3807" s="24" t="n">
        <f aca="false">IF(Search!$B$3="",0,IF($A3807="",N(K3806),IF(ISNUMBER(SEARCH(Search!$B$3,$A3807&amp;"")),N(K3806)+1,N(K3806))))</f>
        <v>0</v>
      </c>
    </row>
    <row r="3808" customFormat="false" ht="15" hidden="false" customHeight="false" outlineLevel="0" collapsed="false">
      <c r="K3808" s="24" t="n">
        <f aca="false">IF(Search!$B$3="",0,IF($A3808="",N(K3807),IF(ISNUMBER(SEARCH(Search!$B$3,$A3808&amp;"")),N(K3807)+1,N(K3807))))</f>
        <v>0</v>
      </c>
    </row>
    <row r="3809" customFormat="false" ht="15" hidden="false" customHeight="false" outlineLevel="0" collapsed="false">
      <c r="K3809" s="24" t="n">
        <f aca="false">IF(Search!$B$3="",0,IF($A3809="",N(K3808),IF(ISNUMBER(SEARCH(Search!$B$3,$A3809&amp;"")),N(K3808)+1,N(K3808))))</f>
        <v>0</v>
      </c>
    </row>
    <row r="3810" customFormat="false" ht="15" hidden="false" customHeight="false" outlineLevel="0" collapsed="false">
      <c r="K3810" s="24" t="n">
        <f aca="false">IF(Search!$B$3="",0,IF($A3810="",N(K3809),IF(ISNUMBER(SEARCH(Search!$B$3,$A3810&amp;"")),N(K3809)+1,N(K3809))))</f>
        <v>0</v>
      </c>
    </row>
    <row r="3811" customFormat="false" ht="15" hidden="false" customHeight="false" outlineLevel="0" collapsed="false">
      <c r="K3811" s="24" t="n">
        <f aca="false">IF(Search!$B$3="",0,IF($A3811="",N(K3810),IF(ISNUMBER(SEARCH(Search!$B$3,$A3811&amp;"")),N(K3810)+1,N(K3810))))</f>
        <v>0</v>
      </c>
    </row>
    <row r="3812" customFormat="false" ht="15" hidden="false" customHeight="false" outlineLevel="0" collapsed="false">
      <c r="K3812" s="24" t="n">
        <f aca="false">IF(Search!$B$3="",0,IF($A3812="",N(K3811),IF(ISNUMBER(SEARCH(Search!$B$3,$A3812&amp;"")),N(K3811)+1,N(K3811))))</f>
        <v>0</v>
      </c>
    </row>
    <row r="3813" customFormat="false" ht="15" hidden="false" customHeight="false" outlineLevel="0" collapsed="false">
      <c r="K3813" s="24" t="n">
        <f aca="false">IF(Search!$B$3="",0,IF($A3813="",N(K3812),IF(ISNUMBER(SEARCH(Search!$B$3,$A3813&amp;"")),N(K3812)+1,N(K3812))))</f>
        <v>0</v>
      </c>
    </row>
    <row r="3814" customFormat="false" ht="15" hidden="false" customHeight="false" outlineLevel="0" collapsed="false">
      <c r="K3814" s="24" t="n">
        <f aca="false">IF(Search!$B$3="",0,IF($A3814="",N(K3813),IF(ISNUMBER(SEARCH(Search!$B$3,$A3814&amp;"")),N(K3813)+1,N(K3813))))</f>
        <v>0</v>
      </c>
    </row>
    <row r="3815" customFormat="false" ht="15" hidden="false" customHeight="false" outlineLevel="0" collapsed="false">
      <c r="K3815" s="24" t="n">
        <f aca="false">IF(Search!$B$3="",0,IF($A3815="",N(K3814),IF(ISNUMBER(SEARCH(Search!$B$3,$A3815&amp;"")),N(K3814)+1,N(K3814))))</f>
        <v>0</v>
      </c>
    </row>
    <row r="3816" customFormat="false" ht="15" hidden="false" customHeight="false" outlineLevel="0" collapsed="false">
      <c r="K3816" s="24" t="n">
        <f aca="false">IF(Search!$B$3="",0,IF($A3816="",N(K3815),IF(ISNUMBER(SEARCH(Search!$B$3,$A3816&amp;"")),N(K3815)+1,N(K3815))))</f>
        <v>0</v>
      </c>
    </row>
    <row r="3817" customFormat="false" ht="15" hidden="false" customHeight="false" outlineLevel="0" collapsed="false">
      <c r="K3817" s="24" t="n">
        <f aca="false">IF(Search!$B$3="",0,IF($A3817="",N(K3816),IF(ISNUMBER(SEARCH(Search!$B$3,$A3817&amp;"")),N(K3816)+1,N(K3816))))</f>
        <v>0</v>
      </c>
    </row>
    <row r="3818" customFormat="false" ht="15" hidden="false" customHeight="false" outlineLevel="0" collapsed="false">
      <c r="K3818" s="24" t="n">
        <f aca="false">IF(Search!$B$3="",0,IF($A3818="",N(K3817),IF(ISNUMBER(SEARCH(Search!$B$3,$A3818&amp;"")),N(K3817)+1,N(K3817))))</f>
        <v>0</v>
      </c>
    </row>
    <row r="3819" customFormat="false" ht="15" hidden="false" customHeight="false" outlineLevel="0" collapsed="false">
      <c r="K3819" s="24" t="n">
        <f aca="false">IF(Search!$B$3="",0,IF($A3819="",N(K3818),IF(ISNUMBER(SEARCH(Search!$B$3,$A3819&amp;"")),N(K3818)+1,N(K3818))))</f>
        <v>0</v>
      </c>
    </row>
    <row r="3820" customFormat="false" ht="15" hidden="false" customHeight="false" outlineLevel="0" collapsed="false">
      <c r="K3820" s="24" t="n">
        <f aca="false">IF(Search!$B$3="",0,IF($A3820="",N(K3819),IF(ISNUMBER(SEARCH(Search!$B$3,$A3820&amp;"")),N(K3819)+1,N(K3819))))</f>
        <v>0</v>
      </c>
    </row>
    <row r="3821" customFormat="false" ht="15" hidden="false" customHeight="false" outlineLevel="0" collapsed="false">
      <c r="K3821" s="24" t="n">
        <f aca="false">IF(Search!$B$3="",0,IF($A3821="",N(K3820),IF(ISNUMBER(SEARCH(Search!$B$3,$A3821&amp;"")),N(K3820)+1,N(K3820))))</f>
        <v>0</v>
      </c>
    </row>
    <row r="3822" customFormat="false" ht="15" hidden="false" customHeight="false" outlineLevel="0" collapsed="false">
      <c r="K3822" s="24" t="n">
        <f aca="false">IF(Search!$B$3="",0,IF($A3822="",N(K3821),IF(ISNUMBER(SEARCH(Search!$B$3,$A3822&amp;"")),N(K3821)+1,N(K3821))))</f>
        <v>0</v>
      </c>
    </row>
    <row r="3823" customFormat="false" ht="15" hidden="false" customHeight="false" outlineLevel="0" collapsed="false">
      <c r="K3823" s="24" t="n">
        <f aca="false">IF(Search!$B$3="",0,IF($A3823="",N(K3822),IF(ISNUMBER(SEARCH(Search!$B$3,$A3823&amp;"")),N(K3822)+1,N(K3822))))</f>
        <v>0</v>
      </c>
    </row>
    <row r="3824" customFormat="false" ht="15" hidden="false" customHeight="false" outlineLevel="0" collapsed="false">
      <c r="K3824" s="24" t="n">
        <f aca="false">IF(Search!$B$3="",0,IF($A3824="",N(K3823),IF(ISNUMBER(SEARCH(Search!$B$3,$A3824&amp;"")),N(K3823)+1,N(K3823))))</f>
        <v>0</v>
      </c>
    </row>
    <row r="3825" customFormat="false" ht="15" hidden="false" customHeight="false" outlineLevel="0" collapsed="false">
      <c r="K3825" s="24" t="n">
        <f aca="false">IF(Search!$B$3="",0,IF($A3825="",N(K3824),IF(ISNUMBER(SEARCH(Search!$B$3,$A3825&amp;"")),N(K3824)+1,N(K3824))))</f>
        <v>0</v>
      </c>
    </row>
    <row r="3826" customFormat="false" ht="15" hidden="false" customHeight="false" outlineLevel="0" collapsed="false">
      <c r="K3826" s="24" t="n">
        <f aca="false">IF(Search!$B$3="",0,IF($A3826="",N(K3825),IF(ISNUMBER(SEARCH(Search!$B$3,$A3826&amp;"")),N(K3825)+1,N(K3825))))</f>
        <v>0</v>
      </c>
    </row>
    <row r="3827" customFormat="false" ht="15" hidden="false" customHeight="false" outlineLevel="0" collapsed="false">
      <c r="K3827" s="24" t="n">
        <f aca="false">IF(Search!$B$3="",0,IF($A3827="",N(K3826),IF(ISNUMBER(SEARCH(Search!$B$3,$A3827&amp;"")),N(K3826)+1,N(K3826))))</f>
        <v>0</v>
      </c>
    </row>
    <row r="3828" customFormat="false" ht="15" hidden="false" customHeight="false" outlineLevel="0" collapsed="false">
      <c r="K3828" s="24" t="n">
        <f aca="false">IF(Search!$B$3="",0,IF($A3828="",N(K3827),IF(ISNUMBER(SEARCH(Search!$B$3,$A3828&amp;"")),N(K3827)+1,N(K3827))))</f>
        <v>0</v>
      </c>
    </row>
    <row r="3829" customFormat="false" ht="15" hidden="false" customHeight="false" outlineLevel="0" collapsed="false">
      <c r="K3829" s="24" t="n">
        <f aca="false">IF(Search!$B$3="",0,IF($A3829="",N(K3828),IF(ISNUMBER(SEARCH(Search!$B$3,$A3829&amp;"")),N(K3828)+1,N(K3828))))</f>
        <v>0</v>
      </c>
    </row>
    <row r="3830" customFormat="false" ht="15" hidden="false" customHeight="false" outlineLevel="0" collapsed="false">
      <c r="K3830" s="24" t="n">
        <f aca="false">IF(Search!$B$3="",0,IF($A3830="",N(K3829),IF(ISNUMBER(SEARCH(Search!$B$3,$A3830&amp;"")),N(K3829)+1,N(K3829))))</f>
        <v>0</v>
      </c>
    </row>
    <row r="3831" customFormat="false" ht="15" hidden="false" customHeight="false" outlineLevel="0" collapsed="false">
      <c r="K3831" s="24" t="n">
        <f aca="false">IF(Search!$B$3="",0,IF($A3831="",N(K3830),IF(ISNUMBER(SEARCH(Search!$B$3,$A3831&amp;"")),N(K3830)+1,N(K3830))))</f>
        <v>0</v>
      </c>
    </row>
    <row r="3832" customFormat="false" ht="15" hidden="false" customHeight="false" outlineLevel="0" collapsed="false">
      <c r="K3832" s="24" t="n">
        <f aca="false">IF(Search!$B$3="",0,IF($A3832="",N(K3831),IF(ISNUMBER(SEARCH(Search!$B$3,$A3832&amp;"")),N(K3831)+1,N(K3831))))</f>
        <v>0</v>
      </c>
    </row>
    <row r="3833" customFormat="false" ht="15" hidden="false" customHeight="false" outlineLevel="0" collapsed="false">
      <c r="K3833" s="24" t="n">
        <f aca="false">IF(Search!$B$3="",0,IF($A3833="",N(K3832),IF(ISNUMBER(SEARCH(Search!$B$3,$A3833&amp;"")),N(K3832)+1,N(K3832))))</f>
        <v>0</v>
      </c>
    </row>
    <row r="3834" customFormat="false" ht="15" hidden="false" customHeight="false" outlineLevel="0" collapsed="false">
      <c r="K3834" s="24" t="n">
        <f aca="false">IF(Search!$B$3="",0,IF($A3834="",N(K3833),IF(ISNUMBER(SEARCH(Search!$B$3,$A3834&amp;"")),N(K3833)+1,N(K3833))))</f>
        <v>0</v>
      </c>
    </row>
    <row r="3835" customFormat="false" ht="15" hidden="false" customHeight="false" outlineLevel="0" collapsed="false">
      <c r="K3835" s="24" t="n">
        <f aca="false">IF(Search!$B$3="",0,IF($A3835="",N(K3834),IF(ISNUMBER(SEARCH(Search!$B$3,$A3835&amp;"")),N(K3834)+1,N(K3834))))</f>
        <v>0</v>
      </c>
    </row>
    <row r="3836" customFormat="false" ht="15" hidden="false" customHeight="false" outlineLevel="0" collapsed="false">
      <c r="K3836" s="24" t="n">
        <f aca="false">IF(Search!$B$3="",0,IF($A3836="",N(K3835),IF(ISNUMBER(SEARCH(Search!$B$3,$A3836&amp;"")),N(K3835)+1,N(K3835))))</f>
        <v>0</v>
      </c>
    </row>
    <row r="3837" customFormat="false" ht="15" hidden="false" customHeight="false" outlineLevel="0" collapsed="false">
      <c r="K3837" s="24" t="n">
        <f aca="false">IF(Search!$B$3="",0,IF($A3837="",N(K3836),IF(ISNUMBER(SEARCH(Search!$B$3,$A3837&amp;"")),N(K3836)+1,N(K3836))))</f>
        <v>0</v>
      </c>
    </row>
    <row r="3838" customFormat="false" ht="15" hidden="false" customHeight="false" outlineLevel="0" collapsed="false">
      <c r="K3838" s="24" t="n">
        <f aca="false">IF(Search!$B$3="",0,IF($A3838="",N(K3837),IF(ISNUMBER(SEARCH(Search!$B$3,$A3838&amp;"")),N(K3837)+1,N(K3837))))</f>
        <v>0</v>
      </c>
    </row>
    <row r="3839" customFormat="false" ht="15" hidden="false" customHeight="false" outlineLevel="0" collapsed="false">
      <c r="K3839" s="24" t="n">
        <f aca="false">IF(Search!$B$3="",0,IF($A3839="",N(K3838),IF(ISNUMBER(SEARCH(Search!$B$3,$A3839&amp;"")),N(K3838)+1,N(K3838))))</f>
        <v>0</v>
      </c>
    </row>
    <row r="3840" customFormat="false" ht="15" hidden="false" customHeight="false" outlineLevel="0" collapsed="false">
      <c r="K3840" s="24" t="n">
        <f aca="false">IF(Search!$B$3="",0,IF($A3840="",N(K3839),IF(ISNUMBER(SEARCH(Search!$B$3,$A3840&amp;"")),N(K3839)+1,N(K3839))))</f>
        <v>0</v>
      </c>
    </row>
    <row r="3841" customFormat="false" ht="15" hidden="false" customHeight="false" outlineLevel="0" collapsed="false">
      <c r="K3841" s="24" t="n">
        <f aca="false">IF(Search!$B$3="",0,IF($A3841="",N(K3840),IF(ISNUMBER(SEARCH(Search!$B$3,$A3841&amp;"")),N(K3840)+1,N(K3840))))</f>
        <v>0</v>
      </c>
    </row>
    <row r="3842" customFormat="false" ht="15" hidden="false" customHeight="false" outlineLevel="0" collapsed="false">
      <c r="K3842" s="24" t="n">
        <f aca="false">IF(Search!$B$3="",0,IF($A3842="",N(K3841),IF(ISNUMBER(SEARCH(Search!$B$3,$A3842&amp;"")),N(K3841)+1,N(K3841))))</f>
        <v>0</v>
      </c>
    </row>
    <row r="3843" customFormat="false" ht="15" hidden="false" customHeight="false" outlineLevel="0" collapsed="false">
      <c r="K3843" s="24" t="n">
        <f aca="false">IF(Search!$B$3="",0,IF($A3843="",N(K3842),IF(ISNUMBER(SEARCH(Search!$B$3,$A3843&amp;"")),N(K3842)+1,N(K3842))))</f>
        <v>0</v>
      </c>
    </row>
    <row r="3844" customFormat="false" ht="15" hidden="false" customHeight="false" outlineLevel="0" collapsed="false">
      <c r="K3844" s="24" t="n">
        <f aca="false">IF(Search!$B$3="",0,IF($A3844="",N(K3843),IF(ISNUMBER(SEARCH(Search!$B$3,$A3844&amp;"")),N(K3843)+1,N(K3843))))</f>
        <v>0</v>
      </c>
    </row>
    <row r="3845" customFormat="false" ht="15" hidden="false" customHeight="false" outlineLevel="0" collapsed="false">
      <c r="K3845" s="24" t="n">
        <f aca="false">IF(Search!$B$3="",0,IF($A3845="",N(K3844),IF(ISNUMBER(SEARCH(Search!$B$3,$A3845&amp;"")),N(K3844)+1,N(K3844))))</f>
        <v>0</v>
      </c>
    </row>
    <row r="3846" customFormat="false" ht="15" hidden="false" customHeight="false" outlineLevel="0" collapsed="false">
      <c r="K3846" s="24" t="n">
        <f aca="false">IF(Search!$B$3="",0,IF($A3846="",N(K3845),IF(ISNUMBER(SEARCH(Search!$B$3,$A3846&amp;"")),N(K3845)+1,N(K3845))))</f>
        <v>0</v>
      </c>
    </row>
    <row r="3847" customFormat="false" ht="15" hidden="false" customHeight="false" outlineLevel="0" collapsed="false">
      <c r="K3847" s="24" t="n">
        <f aca="false">IF(Search!$B$3="",0,IF($A3847="",N(K3846),IF(ISNUMBER(SEARCH(Search!$B$3,$A3847&amp;"")),N(K3846)+1,N(K3846))))</f>
        <v>0</v>
      </c>
    </row>
    <row r="3848" customFormat="false" ht="15" hidden="false" customHeight="false" outlineLevel="0" collapsed="false">
      <c r="K3848" s="24" t="n">
        <f aca="false">IF(Search!$B$3="",0,IF($A3848="",N(K3847),IF(ISNUMBER(SEARCH(Search!$B$3,$A3848&amp;"")),N(K3847)+1,N(K3847))))</f>
        <v>0</v>
      </c>
    </row>
    <row r="3849" customFormat="false" ht="15" hidden="false" customHeight="false" outlineLevel="0" collapsed="false">
      <c r="K3849" s="24" t="n">
        <f aca="false">IF(Search!$B$3="",0,IF($A3849="",N(K3848),IF(ISNUMBER(SEARCH(Search!$B$3,$A3849&amp;"")),N(K3848)+1,N(K3848))))</f>
        <v>0</v>
      </c>
    </row>
    <row r="3850" customFormat="false" ht="15" hidden="false" customHeight="false" outlineLevel="0" collapsed="false">
      <c r="K3850" s="24" t="n">
        <f aca="false">IF(Search!$B$3="",0,IF($A3850="",N(K3849),IF(ISNUMBER(SEARCH(Search!$B$3,$A3850&amp;"")),N(K3849)+1,N(K3849))))</f>
        <v>0</v>
      </c>
    </row>
    <row r="3851" customFormat="false" ht="15" hidden="false" customHeight="false" outlineLevel="0" collapsed="false">
      <c r="K3851" s="24" t="n">
        <f aca="false">IF(Search!$B$3="",0,IF($A3851="",N(K3850),IF(ISNUMBER(SEARCH(Search!$B$3,$A3851&amp;"")),N(K3850)+1,N(K3850))))</f>
        <v>0</v>
      </c>
    </row>
    <row r="3852" customFormat="false" ht="15" hidden="false" customHeight="false" outlineLevel="0" collapsed="false">
      <c r="K3852" s="24" t="n">
        <f aca="false">IF(Search!$B$3="",0,IF($A3852="",N(K3851),IF(ISNUMBER(SEARCH(Search!$B$3,$A3852&amp;"")),N(K3851)+1,N(K3851))))</f>
        <v>0</v>
      </c>
    </row>
    <row r="3853" customFormat="false" ht="15" hidden="false" customHeight="false" outlineLevel="0" collapsed="false">
      <c r="K3853" s="24" t="n">
        <f aca="false">IF(Search!$B$3="",0,IF($A3853="",N(K3852),IF(ISNUMBER(SEARCH(Search!$B$3,$A3853&amp;"")),N(K3852)+1,N(K3852))))</f>
        <v>0</v>
      </c>
    </row>
    <row r="3854" customFormat="false" ht="15" hidden="false" customHeight="false" outlineLevel="0" collapsed="false">
      <c r="K3854" s="24" t="n">
        <f aca="false">IF(Search!$B$3="",0,IF($A3854="",N(K3853),IF(ISNUMBER(SEARCH(Search!$B$3,$A3854&amp;"")),N(K3853)+1,N(K3853))))</f>
        <v>0</v>
      </c>
    </row>
    <row r="3855" customFormat="false" ht="15" hidden="false" customHeight="false" outlineLevel="0" collapsed="false">
      <c r="K3855" s="24" t="n">
        <f aca="false">IF(Search!$B$3="",0,IF($A3855="",N(K3854),IF(ISNUMBER(SEARCH(Search!$B$3,$A3855&amp;"")),N(K3854)+1,N(K3854))))</f>
        <v>0</v>
      </c>
    </row>
    <row r="3856" customFormat="false" ht="15" hidden="false" customHeight="false" outlineLevel="0" collapsed="false">
      <c r="K3856" s="24" t="n">
        <f aca="false">IF(Search!$B$3="",0,IF($A3856="",N(K3855),IF(ISNUMBER(SEARCH(Search!$B$3,$A3856&amp;"")),N(K3855)+1,N(K3855))))</f>
        <v>0</v>
      </c>
    </row>
    <row r="3857" customFormat="false" ht="15" hidden="false" customHeight="false" outlineLevel="0" collapsed="false">
      <c r="K3857" s="24" t="n">
        <f aca="false">IF(Search!$B$3="",0,IF($A3857="",N(K3856),IF(ISNUMBER(SEARCH(Search!$B$3,$A3857&amp;"")),N(K3856)+1,N(K3856))))</f>
        <v>0</v>
      </c>
    </row>
    <row r="3858" customFormat="false" ht="15" hidden="false" customHeight="false" outlineLevel="0" collapsed="false">
      <c r="K3858" s="24" t="n">
        <f aca="false">IF(Search!$B$3="",0,IF($A3858="",N(K3857),IF(ISNUMBER(SEARCH(Search!$B$3,$A3858&amp;"")),N(K3857)+1,N(K3857))))</f>
        <v>0</v>
      </c>
    </row>
    <row r="3859" customFormat="false" ht="15" hidden="false" customHeight="false" outlineLevel="0" collapsed="false">
      <c r="K3859" s="24" t="n">
        <f aca="false">IF(Search!$B$3="",0,IF($A3859="",N(K3858),IF(ISNUMBER(SEARCH(Search!$B$3,$A3859&amp;"")),N(K3858)+1,N(K3858))))</f>
        <v>0</v>
      </c>
    </row>
    <row r="3860" customFormat="false" ht="15" hidden="false" customHeight="false" outlineLevel="0" collapsed="false">
      <c r="K3860" s="24" t="n">
        <f aca="false">IF(Search!$B$3="",0,IF($A3860="",N(K3859),IF(ISNUMBER(SEARCH(Search!$B$3,$A3860&amp;"")),N(K3859)+1,N(K3859))))</f>
        <v>0</v>
      </c>
    </row>
    <row r="3861" customFormat="false" ht="15" hidden="false" customHeight="false" outlineLevel="0" collapsed="false">
      <c r="K3861" s="24" t="n">
        <f aca="false">IF(Search!$B$3="",0,IF($A3861="",N(K3860),IF(ISNUMBER(SEARCH(Search!$B$3,$A3861&amp;"")),N(K3860)+1,N(K3860))))</f>
        <v>0</v>
      </c>
    </row>
    <row r="3862" customFormat="false" ht="15" hidden="false" customHeight="false" outlineLevel="0" collapsed="false">
      <c r="K3862" s="24" t="n">
        <f aca="false">IF(Search!$B$3="",0,IF($A3862="",N(K3861),IF(ISNUMBER(SEARCH(Search!$B$3,$A3862&amp;"")),N(K3861)+1,N(K3861))))</f>
        <v>0</v>
      </c>
    </row>
    <row r="3863" customFormat="false" ht="15" hidden="false" customHeight="false" outlineLevel="0" collapsed="false">
      <c r="K3863" s="24" t="n">
        <f aca="false">IF(Search!$B$3="",0,IF($A3863="",N(K3862),IF(ISNUMBER(SEARCH(Search!$B$3,$A3863&amp;"")),N(K3862)+1,N(K3862))))</f>
        <v>0</v>
      </c>
    </row>
    <row r="3864" customFormat="false" ht="15" hidden="false" customHeight="false" outlineLevel="0" collapsed="false">
      <c r="K3864" s="24" t="n">
        <f aca="false">IF(Search!$B$3="",0,IF($A3864="",N(K3863),IF(ISNUMBER(SEARCH(Search!$B$3,$A3864&amp;"")),N(K3863)+1,N(K3863))))</f>
        <v>0</v>
      </c>
    </row>
    <row r="3865" customFormat="false" ht="15" hidden="false" customHeight="false" outlineLevel="0" collapsed="false">
      <c r="K3865" s="24" t="n">
        <f aca="false">IF(Search!$B$3="",0,IF($A3865="",N(K3864),IF(ISNUMBER(SEARCH(Search!$B$3,$A3865&amp;"")),N(K3864)+1,N(K3864))))</f>
        <v>0</v>
      </c>
    </row>
    <row r="3866" customFormat="false" ht="15" hidden="false" customHeight="false" outlineLevel="0" collapsed="false">
      <c r="K3866" s="24" t="n">
        <f aca="false">IF(Search!$B$3="",0,IF($A3866="",N(K3865),IF(ISNUMBER(SEARCH(Search!$B$3,$A3866&amp;"")),N(K3865)+1,N(K3865))))</f>
        <v>0</v>
      </c>
    </row>
    <row r="3867" customFormat="false" ht="15" hidden="false" customHeight="false" outlineLevel="0" collapsed="false">
      <c r="K3867" s="24" t="n">
        <f aca="false">IF(Search!$B$3="",0,IF($A3867="",N(K3866),IF(ISNUMBER(SEARCH(Search!$B$3,$A3867&amp;"")),N(K3866)+1,N(K3866))))</f>
        <v>0</v>
      </c>
    </row>
    <row r="3868" customFormat="false" ht="15" hidden="false" customHeight="false" outlineLevel="0" collapsed="false">
      <c r="K3868" s="24" t="n">
        <f aca="false">IF(Search!$B$3="",0,IF($A3868="",N(K3867),IF(ISNUMBER(SEARCH(Search!$B$3,$A3868&amp;"")),N(K3867)+1,N(K3867))))</f>
        <v>0</v>
      </c>
    </row>
    <row r="3869" customFormat="false" ht="15" hidden="false" customHeight="false" outlineLevel="0" collapsed="false">
      <c r="K3869" s="24" t="n">
        <f aca="false">IF(Search!$B$3="",0,IF($A3869="",N(K3868),IF(ISNUMBER(SEARCH(Search!$B$3,$A3869&amp;"")),N(K3868)+1,N(K3868))))</f>
        <v>0</v>
      </c>
    </row>
    <row r="3870" customFormat="false" ht="15" hidden="false" customHeight="false" outlineLevel="0" collapsed="false">
      <c r="K3870" s="24" t="n">
        <f aca="false">IF(Search!$B$3="",0,IF($A3870="",N(K3869),IF(ISNUMBER(SEARCH(Search!$B$3,$A3870&amp;"")),N(K3869)+1,N(K3869))))</f>
        <v>0</v>
      </c>
    </row>
    <row r="3871" customFormat="false" ht="15" hidden="false" customHeight="false" outlineLevel="0" collapsed="false">
      <c r="K3871" s="24" t="n">
        <f aca="false">IF(Search!$B$3="",0,IF($A3871="",N(K3870),IF(ISNUMBER(SEARCH(Search!$B$3,$A3871&amp;"")),N(K3870)+1,N(K3870))))</f>
        <v>0</v>
      </c>
    </row>
    <row r="3872" customFormat="false" ht="15" hidden="false" customHeight="false" outlineLevel="0" collapsed="false">
      <c r="K3872" s="24" t="n">
        <f aca="false">IF(Search!$B$3="",0,IF($A3872="",N(K3871),IF(ISNUMBER(SEARCH(Search!$B$3,$A3872&amp;"")),N(K3871)+1,N(K3871))))</f>
        <v>0</v>
      </c>
    </row>
    <row r="3873" customFormat="false" ht="15" hidden="false" customHeight="false" outlineLevel="0" collapsed="false">
      <c r="K3873" s="24" t="n">
        <f aca="false">IF(Search!$B$3="",0,IF($A3873="",N(K3872),IF(ISNUMBER(SEARCH(Search!$B$3,$A3873&amp;"")),N(K3872)+1,N(K3872))))</f>
        <v>0</v>
      </c>
    </row>
    <row r="3874" customFormat="false" ht="15" hidden="false" customHeight="false" outlineLevel="0" collapsed="false">
      <c r="K3874" s="24" t="n">
        <f aca="false">IF(Search!$B$3="",0,IF($A3874="",N(K3873),IF(ISNUMBER(SEARCH(Search!$B$3,$A3874&amp;"")),N(K3873)+1,N(K3873))))</f>
        <v>0</v>
      </c>
    </row>
    <row r="3875" customFormat="false" ht="15" hidden="false" customHeight="false" outlineLevel="0" collapsed="false">
      <c r="K3875" s="24" t="n">
        <f aca="false">IF(Search!$B$3="",0,IF($A3875="",N(K3874),IF(ISNUMBER(SEARCH(Search!$B$3,$A3875&amp;"")),N(K3874)+1,N(K3874))))</f>
        <v>0</v>
      </c>
    </row>
    <row r="3876" customFormat="false" ht="15" hidden="false" customHeight="false" outlineLevel="0" collapsed="false">
      <c r="K3876" s="24" t="n">
        <f aca="false">IF(Search!$B$3="",0,IF($A3876="",N(K3875),IF(ISNUMBER(SEARCH(Search!$B$3,$A3876&amp;"")),N(K3875)+1,N(K3875))))</f>
        <v>0</v>
      </c>
    </row>
    <row r="3877" customFormat="false" ht="15" hidden="false" customHeight="false" outlineLevel="0" collapsed="false">
      <c r="K3877" s="24" t="n">
        <f aca="false">IF(Search!$B$3="",0,IF($A3877="",N(K3876),IF(ISNUMBER(SEARCH(Search!$B$3,$A3877&amp;"")),N(K3876)+1,N(K3876))))</f>
        <v>0</v>
      </c>
    </row>
    <row r="3878" customFormat="false" ht="15" hidden="false" customHeight="false" outlineLevel="0" collapsed="false">
      <c r="K3878" s="24" t="n">
        <f aca="false">IF(Search!$B$3="",0,IF($A3878="",N(K3877),IF(ISNUMBER(SEARCH(Search!$B$3,$A3878&amp;"")),N(K3877)+1,N(K3877))))</f>
        <v>0</v>
      </c>
    </row>
    <row r="3879" customFormat="false" ht="15" hidden="false" customHeight="false" outlineLevel="0" collapsed="false">
      <c r="K3879" s="24" t="n">
        <f aca="false">IF(Search!$B$3="",0,IF($A3879="",N(K3878),IF(ISNUMBER(SEARCH(Search!$B$3,$A3879&amp;"")),N(K3878)+1,N(K3878))))</f>
        <v>0</v>
      </c>
    </row>
    <row r="3880" customFormat="false" ht="15" hidden="false" customHeight="false" outlineLevel="0" collapsed="false">
      <c r="K3880" s="24" t="n">
        <f aca="false">IF(Search!$B$3="",0,IF($A3880="",N(K3879),IF(ISNUMBER(SEARCH(Search!$B$3,$A3880&amp;"")),N(K3879)+1,N(K3879))))</f>
        <v>0</v>
      </c>
    </row>
    <row r="3881" customFormat="false" ht="15" hidden="false" customHeight="false" outlineLevel="0" collapsed="false">
      <c r="K3881" s="24" t="n">
        <f aca="false">IF(Search!$B$3="",0,IF($A3881="",N(K3880),IF(ISNUMBER(SEARCH(Search!$B$3,$A3881&amp;"")),N(K3880)+1,N(K3880))))</f>
        <v>0</v>
      </c>
    </row>
    <row r="3882" customFormat="false" ht="15" hidden="false" customHeight="false" outlineLevel="0" collapsed="false">
      <c r="K3882" s="24" t="n">
        <f aca="false">IF(Search!$B$3="",0,IF($A3882="",N(K3881),IF(ISNUMBER(SEARCH(Search!$B$3,$A3882&amp;"")),N(K3881)+1,N(K3881))))</f>
        <v>0</v>
      </c>
    </row>
    <row r="3883" customFormat="false" ht="15" hidden="false" customHeight="false" outlineLevel="0" collapsed="false">
      <c r="K3883" s="24" t="n">
        <f aca="false">IF(Search!$B$3="",0,IF($A3883="",N(K3882),IF(ISNUMBER(SEARCH(Search!$B$3,$A3883&amp;"")),N(K3882)+1,N(K3882))))</f>
        <v>0</v>
      </c>
    </row>
    <row r="3884" customFormat="false" ht="15" hidden="false" customHeight="false" outlineLevel="0" collapsed="false">
      <c r="K3884" s="24" t="n">
        <f aca="false">IF(Search!$B$3="",0,IF($A3884="",N(K3883),IF(ISNUMBER(SEARCH(Search!$B$3,$A3884&amp;"")),N(K3883)+1,N(K3883))))</f>
        <v>0</v>
      </c>
    </row>
    <row r="3885" customFormat="false" ht="15" hidden="false" customHeight="false" outlineLevel="0" collapsed="false">
      <c r="K3885" s="24" t="n">
        <f aca="false">IF(Search!$B$3="",0,IF($A3885="",N(K3884),IF(ISNUMBER(SEARCH(Search!$B$3,$A3885&amp;"")),N(K3884)+1,N(K3884))))</f>
        <v>0</v>
      </c>
    </row>
    <row r="3886" customFormat="false" ht="15" hidden="false" customHeight="false" outlineLevel="0" collapsed="false">
      <c r="K3886" s="24" t="n">
        <f aca="false">IF(Search!$B$3="",0,IF($A3886="",N(K3885),IF(ISNUMBER(SEARCH(Search!$B$3,$A3886&amp;"")),N(K3885)+1,N(K3885))))</f>
        <v>0</v>
      </c>
    </row>
    <row r="3887" customFormat="false" ht="15" hidden="false" customHeight="false" outlineLevel="0" collapsed="false">
      <c r="K3887" s="24" t="n">
        <f aca="false">IF(Search!$B$3="",0,IF($A3887="",N(K3886),IF(ISNUMBER(SEARCH(Search!$B$3,$A3887&amp;"")),N(K3886)+1,N(K3886))))</f>
        <v>0</v>
      </c>
    </row>
    <row r="3888" customFormat="false" ht="15" hidden="false" customHeight="false" outlineLevel="0" collapsed="false">
      <c r="K3888" s="24" t="n">
        <f aca="false">IF(Search!$B$3="",0,IF($A3888="",N(K3887),IF(ISNUMBER(SEARCH(Search!$B$3,$A3888&amp;"")),N(K3887)+1,N(K3887))))</f>
        <v>0</v>
      </c>
    </row>
    <row r="3889" customFormat="false" ht="15" hidden="false" customHeight="false" outlineLevel="0" collapsed="false">
      <c r="K3889" s="24" t="n">
        <f aca="false">IF(Search!$B$3="",0,IF($A3889="",N(K3888),IF(ISNUMBER(SEARCH(Search!$B$3,$A3889&amp;"")),N(K3888)+1,N(K3888))))</f>
        <v>0</v>
      </c>
    </row>
    <row r="3890" customFormat="false" ht="15" hidden="false" customHeight="false" outlineLevel="0" collapsed="false">
      <c r="K3890" s="24" t="n">
        <f aca="false">IF(Search!$B$3="",0,IF($A3890="",N(K3889),IF(ISNUMBER(SEARCH(Search!$B$3,$A3890&amp;"")),N(K3889)+1,N(K3889))))</f>
        <v>0</v>
      </c>
    </row>
    <row r="3891" customFormat="false" ht="15" hidden="false" customHeight="false" outlineLevel="0" collapsed="false">
      <c r="K3891" s="24" t="n">
        <f aca="false">IF(Search!$B$3="",0,IF($A3891="",N(K3890),IF(ISNUMBER(SEARCH(Search!$B$3,$A3891&amp;"")),N(K3890)+1,N(K3890))))</f>
        <v>0</v>
      </c>
    </row>
    <row r="3892" customFormat="false" ht="15" hidden="false" customHeight="false" outlineLevel="0" collapsed="false">
      <c r="K3892" s="24" t="n">
        <f aca="false">IF(Search!$B$3="",0,IF($A3892="",N(K3891),IF(ISNUMBER(SEARCH(Search!$B$3,$A3892&amp;"")),N(K3891)+1,N(K3891))))</f>
        <v>0</v>
      </c>
    </row>
    <row r="3893" customFormat="false" ht="15" hidden="false" customHeight="false" outlineLevel="0" collapsed="false">
      <c r="K3893" s="24" t="n">
        <f aca="false">IF(Search!$B$3="",0,IF($A3893="",N(K3892),IF(ISNUMBER(SEARCH(Search!$B$3,$A3893&amp;"")),N(K3892)+1,N(K3892))))</f>
        <v>0</v>
      </c>
    </row>
    <row r="3894" customFormat="false" ht="15" hidden="false" customHeight="false" outlineLevel="0" collapsed="false">
      <c r="K3894" s="24" t="n">
        <f aca="false">IF(Search!$B$3="",0,IF($A3894="",N(K3893),IF(ISNUMBER(SEARCH(Search!$B$3,$A3894&amp;"")),N(K3893)+1,N(K3893))))</f>
        <v>0</v>
      </c>
    </row>
    <row r="3895" customFormat="false" ht="15" hidden="false" customHeight="false" outlineLevel="0" collapsed="false">
      <c r="K3895" s="24" t="n">
        <f aca="false">IF(Search!$B$3="",0,IF($A3895="",N(K3894),IF(ISNUMBER(SEARCH(Search!$B$3,$A3895&amp;"")),N(K3894)+1,N(K3894))))</f>
        <v>0</v>
      </c>
    </row>
    <row r="3896" customFormat="false" ht="15" hidden="false" customHeight="false" outlineLevel="0" collapsed="false">
      <c r="K3896" s="24" t="n">
        <f aca="false">IF(Search!$B$3="",0,IF($A3896="",N(K3895),IF(ISNUMBER(SEARCH(Search!$B$3,$A3896&amp;"")),N(K3895)+1,N(K3895))))</f>
        <v>0</v>
      </c>
    </row>
    <row r="3897" customFormat="false" ht="15" hidden="false" customHeight="false" outlineLevel="0" collapsed="false">
      <c r="K3897" s="24" t="n">
        <f aca="false">IF(Search!$B$3="",0,IF($A3897="",N(K3896),IF(ISNUMBER(SEARCH(Search!$B$3,$A3897&amp;"")),N(K3896)+1,N(K3896))))</f>
        <v>0</v>
      </c>
    </row>
    <row r="3898" customFormat="false" ht="15" hidden="false" customHeight="false" outlineLevel="0" collapsed="false">
      <c r="K3898" s="24" t="n">
        <f aca="false">IF(Search!$B$3="",0,IF($A3898="",N(K3897),IF(ISNUMBER(SEARCH(Search!$B$3,$A3898&amp;"")),N(K3897)+1,N(K3897))))</f>
        <v>0</v>
      </c>
    </row>
    <row r="3899" customFormat="false" ht="15" hidden="false" customHeight="false" outlineLevel="0" collapsed="false">
      <c r="K3899" s="24" t="n">
        <f aca="false">IF(Search!$B$3="",0,IF($A3899="",N(K3898),IF(ISNUMBER(SEARCH(Search!$B$3,$A3899&amp;"")),N(K3898)+1,N(K3898))))</f>
        <v>0</v>
      </c>
    </row>
    <row r="3900" customFormat="false" ht="15" hidden="false" customHeight="false" outlineLevel="0" collapsed="false">
      <c r="K3900" s="24" t="n">
        <f aca="false">IF(Search!$B$3="",0,IF($A3900="",N(K3899),IF(ISNUMBER(SEARCH(Search!$B$3,$A3900&amp;"")),N(K3899)+1,N(K3899))))</f>
        <v>0</v>
      </c>
    </row>
    <row r="3901" customFormat="false" ht="15" hidden="false" customHeight="false" outlineLevel="0" collapsed="false">
      <c r="K3901" s="24" t="n">
        <f aca="false">IF(Search!$B$3="",0,IF($A3901="",N(K3900),IF(ISNUMBER(SEARCH(Search!$B$3,$A3901&amp;"")),N(K3900)+1,N(K3900))))</f>
        <v>0</v>
      </c>
    </row>
    <row r="3902" customFormat="false" ht="15" hidden="false" customHeight="false" outlineLevel="0" collapsed="false">
      <c r="K3902" s="24" t="n">
        <f aca="false">IF(Search!$B$3="",0,IF($A3902="",N(K3901),IF(ISNUMBER(SEARCH(Search!$B$3,$A3902&amp;"")),N(K3901)+1,N(K3901))))</f>
        <v>0</v>
      </c>
    </row>
    <row r="3903" customFormat="false" ht="15" hidden="false" customHeight="false" outlineLevel="0" collapsed="false">
      <c r="K3903" s="24" t="n">
        <f aca="false">IF(Search!$B$3="",0,IF($A3903="",N(K3902),IF(ISNUMBER(SEARCH(Search!$B$3,$A3903&amp;"")),N(K3902)+1,N(K3902))))</f>
        <v>0</v>
      </c>
    </row>
    <row r="3904" customFormat="false" ht="15" hidden="false" customHeight="false" outlineLevel="0" collapsed="false">
      <c r="K3904" s="24" t="n">
        <f aca="false">IF(Search!$B$3="",0,IF($A3904="",N(K3903),IF(ISNUMBER(SEARCH(Search!$B$3,$A3904&amp;"")),N(K3903)+1,N(K3903))))</f>
        <v>0</v>
      </c>
    </row>
    <row r="3905" customFormat="false" ht="15" hidden="false" customHeight="false" outlineLevel="0" collapsed="false">
      <c r="K3905" s="24" t="n">
        <f aca="false">IF(Search!$B$3="",0,IF($A3905="",N(K3904),IF(ISNUMBER(SEARCH(Search!$B$3,$A3905&amp;"")),N(K3904)+1,N(K3904))))</f>
        <v>0</v>
      </c>
    </row>
    <row r="3906" customFormat="false" ht="15" hidden="false" customHeight="false" outlineLevel="0" collapsed="false">
      <c r="K3906" s="24" t="n">
        <f aca="false">IF(Search!$B$3="",0,IF($A3906="",N(K3905),IF(ISNUMBER(SEARCH(Search!$B$3,$A3906&amp;"")),N(K3905)+1,N(K3905))))</f>
        <v>0</v>
      </c>
    </row>
    <row r="3907" customFormat="false" ht="15" hidden="false" customHeight="false" outlineLevel="0" collapsed="false">
      <c r="K3907" s="24" t="n">
        <f aca="false">IF(Search!$B$3="",0,IF($A3907="",N(K3906),IF(ISNUMBER(SEARCH(Search!$B$3,$A3907&amp;"")),N(K3906)+1,N(K3906))))</f>
        <v>0</v>
      </c>
    </row>
    <row r="3908" customFormat="false" ht="15" hidden="false" customHeight="false" outlineLevel="0" collapsed="false">
      <c r="K3908" s="24" t="n">
        <f aca="false">IF(Search!$B$3="",0,IF($A3908="",N(K3907),IF(ISNUMBER(SEARCH(Search!$B$3,$A3908&amp;"")),N(K3907)+1,N(K3907))))</f>
        <v>0</v>
      </c>
    </row>
    <row r="3909" customFormat="false" ht="15" hidden="false" customHeight="false" outlineLevel="0" collapsed="false">
      <c r="K3909" s="24" t="n">
        <f aca="false">IF(Search!$B$3="",0,IF($A3909="",N(K3908),IF(ISNUMBER(SEARCH(Search!$B$3,$A3909&amp;"")),N(K3908)+1,N(K3908))))</f>
        <v>0</v>
      </c>
    </row>
    <row r="3910" customFormat="false" ht="15" hidden="false" customHeight="false" outlineLevel="0" collapsed="false">
      <c r="K3910" s="24" t="n">
        <f aca="false">IF(Search!$B$3="",0,IF($A3910="",N(K3909),IF(ISNUMBER(SEARCH(Search!$B$3,$A3910&amp;"")),N(K3909)+1,N(K3909))))</f>
        <v>0</v>
      </c>
    </row>
    <row r="3911" customFormat="false" ht="15" hidden="false" customHeight="false" outlineLevel="0" collapsed="false">
      <c r="K3911" s="24" t="n">
        <f aca="false">IF(Search!$B$3="",0,IF($A3911="",N(K3910),IF(ISNUMBER(SEARCH(Search!$B$3,$A3911&amp;"")),N(K3910)+1,N(K3910))))</f>
        <v>0</v>
      </c>
    </row>
    <row r="3912" customFormat="false" ht="15" hidden="false" customHeight="false" outlineLevel="0" collapsed="false">
      <c r="K3912" s="24" t="n">
        <f aca="false">IF(Search!$B$3="",0,IF($A3912="",N(K3911),IF(ISNUMBER(SEARCH(Search!$B$3,$A3912&amp;"")),N(K3911)+1,N(K3911))))</f>
        <v>0</v>
      </c>
    </row>
    <row r="3913" customFormat="false" ht="15" hidden="false" customHeight="false" outlineLevel="0" collapsed="false">
      <c r="K3913" s="24" t="n">
        <f aca="false">IF(Search!$B$3="",0,IF($A3913="",N(K3912),IF(ISNUMBER(SEARCH(Search!$B$3,$A3913&amp;"")),N(K3912)+1,N(K3912))))</f>
        <v>0</v>
      </c>
    </row>
    <row r="3914" customFormat="false" ht="15" hidden="false" customHeight="false" outlineLevel="0" collapsed="false">
      <c r="K3914" s="24" t="n">
        <f aca="false">IF(Search!$B$3="",0,IF($A3914="",N(K3913),IF(ISNUMBER(SEARCH(Search!$B$3,$A3914&amp;"")),N(K3913)+1,N(K3913))))</f>
        <v>0</v>
      </c>
    </row>
    <row r="3915" customFormat="false" ht="15" hidden="false" customHeight="false" outlineLevel="0" collapsed="false">
      <c r="K3915" s="24" t="n">
        <f aca="false">IF(Search!$B$3="",0,IF($A3915="",N(K3914),IF(ISNUMBER(SEARCH(Search!$B$3,$A3915&amp;"")),N(K3914)+1,N(K3914))))</f>
        <v>0</v>
      </c>
    </row>
    <row r="3916" customFormat="false" ht="15" hidden="false" customHeight="false" outlineLevel="0" collapsed="false">
      <c r="K3916" s="24" t="n">
        <f aca="false">IF(Search!$B$3="",0,IF($A3916="",N(K3915),IF(ISNUMBER(SEARCH(Search!$B$3,$A3916&amp;"")),N(K3915)+1,N(K3915))))</f>
        <v>0</v>
      </c>
    </row>
    <row r="3917" customFormat="false" ht="15" hidden="false" customHeight="false" outlineLevel="0" collapsed="false">
      <c r="K3917" s="24" t="n">
        <f aca="false">IF(Search!$B$3="",0,IF($A3917="",N(K3916),IF(ISNUMBER(SEARCH(Search!$B$3,$A3917&amp;"")),N(K3916)+1,N(K3916))))</f>
        <v>0</v>
      </c>
    </row>
    <row r="3918" customFormat="false" ht="15" hidden="false" customHeight="false" outlineLevel="0" collapsed="false">
      <c r="K3918" s="24" t="n">
        <f aca="false">IF(Search!$B$3="",0,IF($A3918="",N(K3917),IF(ISNUMBER(SEARCH(Search!$B$3,$A3918&amp;"")),N(K3917)+1,N(K3917))))</f>
        <v>0</v>
      </c>
    </row>
    <row r="3919" customFormat="false" ht="15" hidden="false" customHeight="false" outlineLevel="0" collapsed="false">
      <c r="K3919" s="24" t="n">
        <f aca="false">IF(Search!$B$3="",0,IF($A3919="",N(K3918),IF(ISNUMBER(SEARCH(Search!$B$3,$A3919&amp;"")),N(K3918)+1,N(K3918))))</f>
        <v>0</v>
      </c>
    </row>
    <row r="3920" customFormat="false" ht="15" hidden="false" customHeight="false" outlineLevel="0" collapsed="false">
      <c r="K3920" s="24" t="n">
        <f aca="false">IF(Search!$B$3="",0,IF($A3920="",N(K3919),IF(ISNUMBER(SEARCH(Search!$B$3,$A3920&amp;"")),N(K3919)+1,N(K3919))))</f>
        <v>0</v>
      </c>
    </row>
    <row r="3921" customFormat="false" ht="15" hidden="false" customHeight="false" outlineLevel="0" collapsed="false">
      <c r="K3921" s="24" t="n">
        <f aca="false">IF(Search!$B$3="",0,IF($A3921="",N(K3920),IF(ISNUMBER(SEARCH(Search!$B$3,$A3921&amp;"")),N(K3920)+1,N(K3920))))</f>
        <v>0</v>
      </c>
    </row>
    <row r="3922" customFormat="false" ht="15" hidden="false" customHeight="false" outlineLevel="0" collapsed="false">
      <c r="K3922" s="24" t="n">
        <f aca="false">IF(Search!$B$3="",0,IF($A3922="",N(K3921),IF(ISNUMBER(SEARCH(Search!$B$3,$A3922&amp;"")),N(K3921)+1,N(K3921))))</f>
        <v>0</v>
      </c>
    </row>
    <row r="3923" customFormat="false" ht="15" hidden="false" customHeight="false" outlineLevel="0" collapsed="false">
      <c r="K3923" s="24" t="n">
        <f aca="false">IF(Search!$B$3="",0,IF($A3923="",N(K3922),IF(ISNUMBER(SEARCH(Search!$B$3,$A3923&amp;"")),N(K3922)+1,N(K3922))))</f>
        <v>0</v>
      </c>
    </row>
    <row r="3924" customFormat="false" ht="15" hidden="false" customHeight="false" outlineLevel="0" collapsed="false">
      <c r="K3924" s="24" t="n">
        <f aca="false">IF(Search!$B$3="",0,IF($A3924="",N(K3923),IF(ISNUMBER(SEARCH(Search!$B$3,$A3924&amp;"")),N(K3923)+1,N(K3923))))</f>
        <v>0</v>
      </c>
    </row>
    <row r="3925" customFormat="false" ht="15" hidden="false" customHeight="false" outlineLevel="0" collapsed="false">
      <c r="K3925" s="24" t="n">
        <f aca="false">IF(Search!$B$3="",0,IF($A3925="",N(K3924),IF(ISNUMBER(SEARCH(Search!$B$3,$A3925&amp;"")),N(K3924)+1,N(K3924))))</f>
        <v>0</v>
      </c>
    </row>
    <row r="3926" customFormat="false" ht="15" hidden="false" customHeight="false" outlineLevel="0" collapsed="false">
      <c r="K3926" s="24" t="n">
        <f aca="false">IF(Search!$B$3="",0,IF($A3926="",N(K3925),IF(ISNUMBER(SEARCH(Search!$B$3,$A3926&amp;"")),N(K3925)+1,N(K3925))))</f>
        <v>0</v>
      </c>
    </row>
    <row r="3927" customFormat="false" ht="15" hidden="false" customHeight="false" outlineLevel="0" collapsed="false">
      <c r="K3927" s="24" t="n">
        <f aca="false">IF(Search!$B$3="",0,IF($A3927="",N(K3926),IF(ISNUMBER(SEARCH(Search!$B$3,$A3927&amp;"")),N(K3926)+1,N(K3926))))</f>
        <v>0</v>
      </c>
    </row>
    <row r="3928" customFormat="false" ht="15" hidden="false" customHeight="false" outlineLevel="0" collapsed="false">
      <c r="K3928" s="24" t="n">
        <f aca="false">IF(Search!$B$3="",0,IF($A3928="",N(K3927),IF(ISNUMBER(SEARCH(Search!$B$3,$A3928&amp;"")),N(K3927)+1,N(K3927))))</f>
        <v>0</v>
      </c>
    </row>
    <row r="3929" customFormat="false" ht="15" hidden="false" customHeight="false" outlineLevel="0" collapsed="false">
      <c r="K3929" s="24" t="n">
        <f aca="false">IF(Search!$B$3="",0,IF($A3929="",N(K3928),IF(ISNUMBER(SEARCH(Search!$B$3,$A3929&amp;"")),N(K3928)+1,N(K3928))))</f>
        <v>0</v>
      </c>
    </row>
    <row r="3930" customFormat="false" ht="15" hidden="false" customHeight="false" outlineLevel="0" collapsed="false">
      <c r="K3930" s="24" t="n">
        <f aca="false">IF(Search!$B$3="",0,IF($A3930="",N(K3929),IF(ISNUMBER(SEARCH(Search!$B$3,$A3930&amp;"")),N(K3929)+1,N(K3929))))</f>
        <v>0</v>
      </c>
    </row>
    <row r="3931" customFormat="false" ht="15" hidden="false" customHeight="false" outlineLevel="0" collapsed="false">
      <c r="K3931" s="24" t="n">
        <f aca="false">IF(Search!$B$3="",0,IF($A3931="",N(K3930),IF(ISNUMBER(SEARCH(Search!$B$3,$A3931&amp;"")),N(K3930)+1,N(K3930))))</f>
        <v>0</v>
      </c>
    </row>
    <row r="3932" customFormat="false" ht="15" hidden="false" customHeight="false" outlineLevel="0" collapsed="false">
      <c r="K3932" s="24" t="n">
        <f aca="false">IF(Search!$B$3="",0,IF($A3932="",N(K3931),IF(ISNUMBER(SEARCH(Search!$B$3,$A3932&amp;"")),N(K3931)+1,N(K3931))))</f>
        <v>0</v>
      </c>
    </row>
    <row r="3933" customFormat="false" ht="15" hidden="false" customHeight="false" outlineLevel="0" collapsed="false">
      <c r="K3933" s="24" t="n">
        <f aca="false">IF(Search!$B$3="",0,IF($A3933="",N(K3932),IF(ISNUMBER(SEARCH(Search!$B$3,$A3933&amp;"")),N(K3932)+1,N(K3932))))</f>
        <v>0</v>
      </c>
    </row>
    <row r="3934" customFormat="false" ht="15" hidden="false" customHeight="false" outlineLevel="0" collapsed="false">
      <c r="K3934" s="24" t="n">
        <f aca="false">IF(Search!$B$3="",0,IF($A3934="",N(K3933),IF(ISNUMBER(SEARCH(Search!$B$3,$A3934&amp;"")),N(K3933)+1,N(K3933))))</f>
        <v>0</v>
      </c>
    </row>
    <row r="3935" customFormat="false" ht="15" hidden="false" customHeight="false" outlineLevel="0" collapsed="false">
      <c r="K3935" s="24" t="n">
        <f aca="false">IF(Search!$B$3="",0,IF($A3935="",N(K3934),IF(ISNUMBER(SEARCH(Search!$B$3,$A3935&amp;"")),N(K3934)+1,N(K3934))))</f>
        <v>0</v>
      </c>
    </row>
    <row r="3936" customFormat="false" ht="15" hidden="false" customHeight="false" outlineLevel="0" collapsed="false">
      <c r="K3936" s="24" t="n">
        <f aca="false">IF(Search!$B$3="",0,IF($A3936="",N(K3935),IF(ISNUMBER(SEARCH(Search!$B$3,$A3936&amp;"")),N(K3935)+1,N(K3935))))</f>
        <v>0</v>
      </c>
    </row>
    <row r="3937" customFormat="false" ht="15" hidden="false" customHeight="false" outlineLevel="0" collapsed="false">
      <c r="K3937" s="24" t="n">
        <f aca="false">IF(Search!$B$3="",0,IF($A3937="",N(K3936),IF(ISNUMBER(SEARCH(Search!$B$3,$A3937&amp;"")),N(K3936)+1,N(K3936))))</f>
        <v>0</v>
      </c>
    </row>
    <row r="3938" customFormat="false" ht="15" hidden="false" customHeight="false" outlineLevel="0" collapsed="false">
      <c r="K3938" s="24" t="n">
        <f aca="false">IF(Search!$B$3="",0,IF($A3938="",N(K3937),IF(ISNUMBER(SEARCH(Search!$B$3,$A3938&amp;"")),N(K3937)+1,N(K3937))))</f>
        <v>0</v>
      </c>
    </row>
    <row r="3939" customFormat="false" ht="15" hidden="false" customHeight="false" outlineLevel="0" collapsed="false">
      <c r="K3939" s="24" t="n">
        <f aca="false">IF(Search!$B$3="",0,IF($A3939="",N(K3938),IF(ISNUMBER(SEARCH(Search!$B$3,$A3939&amp;"")),N(K3938)+1,N(K3938))))</f>
        <v>0</v>
      </c>
    </row>
    <row r="3940" customFormat="false" ht="15" hidden="false" customHeight="false" outlineLevel="0" collapsed="false">
      <c r="K3940" s="24" t="n">
        <f aca="false">IF(Search!$B$3="",0,IF($A3940="",N(K3939),IF(ISNUMBER(SEARCH(Search!$B$3,$A3940&amp;"")),N(K3939)+1,N(K3939))))</f>
        <v>0</v>
      </c>
    </row>
    <row r="3941" customFormat="false" ht="15" hidden="false" customHeight="false" outlineLevel="0" collapsed="false">
      <c r="K3941" s="24" t="n">
        <f aca="false">IF(Search!$B$3="",0,IF($A3941="",N(K3940),IF(ISNUMBER(SEARCH(Search!$B$3,$A3941&amp;"")),N(K3940)+1,N(K3940))))</f>
        <v>0</v>
      </c>
    </row>
    <row r="3942" customFormat="false" ht="15" hidden="false" customHeight="false" outlineLevel="0" collapsed="false">
      <c r="K3942" s="24" t="n">
        <f aca="false">IF(Search!$B$3="",0,IF($A3942="",N(K3941),IF(ISNUMBER(SEARCH(Search!$B$3,$A3942&amp;"")),N(K3941)+1,N(K3941))))</f>
        <v>0</v>
      </c>
    </row>
    <row r="3943" customFormat="false" ht="15" hidden="false" customHeight="false" outlineLevel="0" collapsed="false">
      <c r="K3943" s="24" t="n">
        <f aca="false">IF(Search!$B$3="",0,IF($A3943="",N(K3942),IF(ISNUMBER(SEARCH(Search!$B$3,$A3943&amp;"")),N(K3942)+1,N(K3942))))</f>
        <v>0</v>
      </c>
    </row>
    <row r="3944" customFormat="false" ht="15" hidden="false" customHeight="false" outlineLevel="0" collapsed="false">
      <c r="K3944" s="24" t="n">
        <f aca="false">IF(Search!$B$3="",0,IF($A3944="",N(K3943),IF(ISNUMBER(SEARCH(Search!$B$3,$A3944&amp;"")),N(K3943)+1,N(K3943))))</f>
        <v>0</v>
      </c>
    </row>
    <row r="3945" customFormat="false" ht="15" hidden="false" customHeight="false" outlineLevel="0" collapsed="false">
      <c r="K3945" s="24" t="n">
        <f aca="false">IF(Search!$B$3="",0,IF($A3945="",N(K3944),IF(ISNUMBER(SEARCH(Search!$B$3,$A3945&amp;"")),N(K3944)+1,N(K3944))))</f>
        <v>0</v>
      </c>
    </row>
    <row r="3946" customFormat="false" ht="15" hidden="false" customHeight="false" outlineLevel="0" collapsed="false">
      <c r="K3946" s="24" t="n">
        <f aca="false">IF(Search!$B$3="",0,IF($A3946="",N(K3945),IF(ISNUMBER(SEARCH(Search!$B$3,$A3946&amp;"")),N(K3945)+1,N(K3945))))</f>
        <v>0</v>
      </c>
    </row>
    <row r="3947" customFormat="false" ht="15" hidden="false" customHeight="false" outlineLevel="0" collapsed="false">
      <c r="K3947" s="24" t="n">
        <f aca="false">IF(Search!$B$3="",0,IF($A3947="",N(K3946),IF(ISNUMBER(SEARCH(Search!$B$3,$A3947&amp;"")),N(K3946)+1,N(K3946))))</f>
        <v>0</v>
      </c>
    </row>
    <row r="3948" customFormat="false" ht="15" hidden="false" customHeight="false" outlineLevel="0" collapsed="false">
      <c r="K3948" s="24" t="n">
        <f aca="false">IF(Search!$B$3="",0,IF($A3948="",N(K3947),IF(ISNUMBER(SEARCH(Search!$B$3,$A3948&amp;"")),N(K3947)+1,N(K3947))))</f>
        <v>0</v>
      </c>
    </row>
    <row r="3949" customFormat="false" ht="15" hidden="false" customHeight="false" outlineLevel="0" collapsed="false">
      <c r="K3949" s="24" t="n">
        <f aca="false">IF(Search!$B$3="",0,IF($A3949="",N(K3948),IF(ISNUMBER(SEARCH(Search!$B$3,$A3949&amp;"")),N(K3948)+1,N(K3948))))</f>
        <v>0</v>
      </c>
    </row>
    <row r="3950" customFormat="false" ht="15" hidden="false" customHeight="false" outlineLevel="0" collapsed="false">
      <c r="K3950" s="24" t="n">
        <f aca="false">IF(Search!$B$3="",0,IF($A3950="",N(K3949),IF(ISNUMBER(SEARCH(Search!$B$3,$A3950&amp;"")),N(K3949)+1,N(K3949))))</f>
        <v>0</v>
      </c>
    </row>
    <row r="3951" customFormat="false" ht="15" hidden="false" customHeight="false" outlineLevel="0" collapsed="false">
      <c r="K3951" s="24" t="n">
        <f aca="false">IF(Search!$B$3="",0,IF($A3951="",N(K3950),IF(ISNUMBER(SEARCH(Search!$B$3,$A3951&amp;"")),N(K3950)+1,N(K3950))))</f>
        <v>0</v>
      </c>
    </row>
    <row r="3952" customFormat="false" ht="15" hidden="false" customHeight="false" outlineLevel="0" collapsed="false">
      <c r="K3952" s="24" t="n">
        <f aca="false">IF(Search!$B$3="",0,IF($A3952="",N(K3951),IF(ISNUMBER(SEARCH(Search!$B$3,$A3952&amp;"")),N(K3951)+1,N(K3951))))</f>
        <v>0</v>
      </c>
    </row>
    <row r="3953" customFormat="false" ht="15" hidden="false" customHeight="false" outlineLevel="0" collapsed="false">
      <c r="K3953" s="24" t="n">
        <f aca="false">IF(Search!$B$3="",0,IF($A3953="",N(K3952),IF(ISNUMBER(SEARCH(Search!$B$3,$A3953&amp;"")),N(K3952)+1,N(K3952))))</f>
        <v>0</v>
      </c>
    </row>
    <row r="3954" customFormat="false" ht="15" hidden="false" customHeight="false" outlineLevel="0" collapsed="false">
      <c r="K3954" s="24" t="n">
        <f aca="false">IF(Search!$B$3="",0,IF($A3954="",N(K3953),IF(ISNUMBER(SEARCH(Search!$B$3,$A3954&amp;"")),N(K3953)+1,N(K3953))))</f>
        <v>0</v>
      </c>
    </row>
    <row r="3955" customFormat="false" ht="15" hidden="false" customHeight="false" outlineLevel="0" collapsed="false">
      <c r="K3955" s="24" t="n">
        <f aca="false">IF(Search!$B$3="",0,IF($A3955="",N(K3954),IF(ISNUMBER(SEARCH(Search!$B$3,$A3955&amp;"")),N(K3954)+1,N(K3954))))</f>
        <v>0</v>
      </c>
    </row>
    <row r="3956" customFormat="false" ht="15" hidden="false" customHeight="false" outlineLevel="0" collapsed="false">
      <c r="K3956" s="24" t="n">
        <f aca="false">IF(Search!$B$3="",0,IF($A3956="",N(K3955),IF(ISNUMBER(SEARCH(Search!$B$3,$A3956&amp;"")),N(K3955)+1,N(K3955))))</f>
        <v>0</v>
      </c>
    </row>
    <row r="3957" customFormat="false" ht="15" hidden="false" customHeight="false" outlineLevel="0" collapsed="false">
      <c r="K3957" s="24" t="n">
        <f aca="false">IF(Search!$B$3="",0,IF($A3957="",N(K3956),IF(ISNUMBER(SEARCH(Search!$B$3,$A3957&amp;"")),N(K3956)+1,N(K3956))))</f>
        <v>0</v>
      </c>
    </row>
    <row r="3958" customFormat="false" ht="15" hidden="false" customHeight="false" outlineLevel="0" collapsed="false">
      <c r="K3958" s="24" t="n">
        <f aca="false">IF(Search!$B$3="",0,IF($A3958="",N(K3957),IF(ISNUMBER(SEARCH(Search!$B$3,$A3958&amp;"")),N(K3957)+1,N(K3957))))</f>
        <v>0</v>
      </c>
    </row>
    <row r="3959" customFormat="false" ht="15" hidden="false" customHeight="false" outlineLevel="0" collapsed="false">
      <c r="K3959" s="24" t="n">
        <f aca="false">IF(Search!$B$3="",0,IF($A3959="",N(K3958),IF(ISNUMBER(SEARCH(Search!$B$3,$A3959&amp;"")),N(K3958)+1,N(K3958))))</f>
        <v>0</v>
      </c>
    </row>
    <row r="3960" customFormat="false" ht="15" hidden="false" customHeight="false" outlineLevel="0" collapsed="false">
      <c r="K3960" s="24" t="n">
        <f aca="false">IF(Search!$B$3="",0,IF($A3960="",N(K3959),IF(ISNUMBER(SEARCH(Search!$B$3,$A3960&amp;"")),N(K3959)+1,N(K3959))))</f>
        <v>0</v>
      </c>
    </row>
    <row r="3961" customFormat="false" ht="15" hidden="false" customHeight="false" outlineLevel="0" collapsed="false">
      <c r="K3961" s="24" t="n">
        <f aca="false">IF(Search!$B$3="",0,IF($A3961="",N(K3960),IF(ISNUMBER(SEARCH(Search!$B$3,$A3961&amp;"")),N(K3960)+1,N(K3960))))</f>
        <v>0</v>
      </c>
    </row>
    <row r="3962" customFormat="false" ht="15" hidden="false" customHeight="false" outlineLevel="0" collapsed="false">
      <c r="K3962" s="24" t="n">
        <f aca="false">IF(Search!$B$3="",0,IF($A3962="",N(K3961),IF(ISNUMBER(SEARCH(Search!$B$3,$A3962&amp;"")),N(K3961)+1,N(K3961))))</f>
        <v>0</v>
      </c>
    </row>
    <row r="3963" customFormat="false" ht="15" hidden="false" customHeight="false" outlineLevel="0" collapsed="false">
      <c r="K3963" s="24" t="n">
        <f aca="false">IF(Search!$B$3="",0,IF($A3963="",N(K3962),IF(ISNUMBER(SEARCH(Search!$B$3,$A3963&amp;"")),N(K3962)+1,N(K3962))))</f>
        <v>0</v>
      </c>
    </row>
    <row r="3964" customFormat="false" ht="15" hidden="false" customHeight="false" outlineLevel="0" collapsed="false">
      <c r="K3964" s="24" t="n">
        <f aca="false">IF(Search!$B$3="",0,IF($A3964="",N(K3963),IF(ISNUMBER(SEARCH(Search!$B$3,$A3964&amp;"")),N(K3963)+1,N(K3963))))</f>
        <v>0</v>
      </c>
    </row>
    <row r="3965" customFormat="false" ht="15" hidden="false" customHeight="false" outlineLevel="0" collapsed="false">
      <c r="K3965" s="24" t="n">
        <f aca="false">IF(Search!$B$3="",0,IF($A3965="",N(K3964),IF(ISNUMBER(SEARCH(Search!$B$3,$A3965&amp;"")),N(K3964)+1,N(K3964))))</f>
        <v>0</v>
      </c>
    </row>
    <row r="3966" customFormat="false" ht="15" hidden="false" customHeight="false" outlineLevel="0" collapsed="false">
      <c r="K3966" s="24" t="n">
        <f aca="false">IF(Search!$B$3="",0,IF($A3966="",N(K3965),IF(ISNUMBER(SEARCH(Search!$B$3,$A3966&amp;"")),N(K3965)+1,N(K3965))))</f>
        <v>0</v>
      </c>
    </row>
    <row r="3967" customFormat="false" ht="15" hidden="false" customHeight="false" outlineLevel="0" collapsed="false">
      <c r="K3967" s="24" t="n">
        <f aca="false">IF(Search!$B$3="",0,IF($A3967="",N(K3966),IF(ISNUMBER(SEARCH(Search!$B$3,$A3967&amp;"")),N(K3966)+1,N(K3966))))</f>
        <v>0</v>
      </c>
    </row>
    <row r="3968" customFormat="false" ht="15" hidden="false" customHeight="false" outlineLevel="0" collapsed="false">
      <c r="K3968" s="24" t="n">
        <f aca="false">IF(Search!$B$3="",0,IF($A3968="",N(K3967),IF(ISNUMBER(SEARCH(Search!$B$3,$A3968&amp;"")),N(K3967)+1,N(K3967))))</f>
        <v>0</v>
      </c>
    </row>
    <row r="3969" customFormat="false" ht="15" hidden="false" customHeight="false" outlineLevel="0" collapsed="false">
      <c r="K3969" s="24" t="n">
        <f aca="false">IF(Search!$B$3="",0,IF($A3969="",N(K3968),IF(ISNUMBER(SEARCH(Search!$B$3,$A3969&amp;"")),N(K3968)+1,N(K3968))))</f>
        <v>0</v>
      </c>
    </row>
    <row r="3970" customFormat="false" ht="15" hidden="false" customHeight="false" outlineLevel="0" collapsed="false">
      <c r="K3970" s="24" t="n">
        <f aca="false">IF(Search!$B$3="",0,IF($A3970="",N(K3969),IF(ISNUMBER(SEARCH(Search!$B$3,$A3970&amp;"")),N(K3969)+1,N(K3969))))</f>
        <v>0</v>
      </c>
    </row>
    <row r="3971" customFormat="false" ht="15" hidden="false" customHeight="false" outlineLevel="0" collapsed="false">
      <c r="K3971" s="24" t="n">
        <f aca="false">IF(Search!$B$3="",0,IF($A3971="",N(K3970),IF(ISNUMBER(SEARCH(Search!$B$3,$A3971&amp;"")),N(K3970)+1,N(K3970))))</f>
        <v>0</v>
      </c>
    </row>
    <row r="3972" customFormat="false" ht="15" hidden="false" customHeight="false" outlineLevel="0" collapsed="false">
      <c r="K3972" s="24" t="n">
        <f aca="false">IF(Search!$B$3="",0,IF($A3972="",N(K3971),IF(ISNUMBER(SEARCH(Search!$B$3,$A3972&amp;"")),N(K3971)+1,N(K3971))))</f>
        <v>0</v>
      </c>
    </row>
    <row r="3973" customFormat="false" ht="15" hidden="false" customHeight="false" outlineLevel="0" collapsed="false">
      <c r="K3973" s="24" t="n">
        <f aca="false">IF(Search!$B$3="",0,IF($A3973="",N(K3972),IF(ISNUMBER(SEARCH(Search!$B$3,$A3973&amp;"")),N(K3972)+1,N(K3972))))</f>
        <v>0</v>
      </c>
    </row>
    <row r="3974" customFormat="false" ht="15" hidden="false" customHeight="false" outlineLevel="0" collapsed="false">
      <c r="K3974" s="24" t="n">
        <f aca="false">IF(Search!$B$3="",0,IF($A3974="",N(K3973),IF(ISNUMBER(SEARCH(Search!$B$3,$A3974&amp;"")),N(K3973)+1,N(K3973))))</f>
        <v>0</v>
      </c>
    </row>
    <row r="3975" customFormat="false" ht="15" hidden="false" customHeight="false" outlineLevel="0" collapsed="false">
      <c r="K3975" s="24" t="n">
        <f aca="false">IF(Search!$B$3="",0,IF($A3975="",N(K3974),IF(ISNUMBER(SEARCH(Search!$B$3,$A3975&amp;"")),N(K3974)+1,N(K3974))))</f>
        <v>0</v>
      </c>
    </row>
    <row r="3976" customFormat="false" ht="15" hidden="false" customHeight="false" outlineLevel="0" collapsed="false">
      <c r="K3976" s="24" t="n">
        <f aca="false">IF(Search!$B$3="",0,IF($A3976="",N(K3975),IF(ISNUMBER(SEARCH(Search!$B$3,$A3976&amp;"")),N(K3975)+1,N(K3975))))</f>
        <v>0</v>
      </c>
    </row>
    <row r="3977" customFormat="false" ht="15" hidden="false" customHeight="false" outlineLevel="0" collapsed="false">
      <c r="K3977" s="24" t="n">
        <f aca="false">IF(Search!$B$3="",0,IF($A3977="",N(K3976),IF(ISNUMBER(SEARCH(Search!$B$3,$A3977&amp;"")),N(K3976)+1,N(K3976))))</f>
        <v>0</v>
      </c>
    </row>
    <row r="3978" customFormat="false" ht="15" hidden="false" customHeight="false" outlineLevel="0" collapsed="false">
      <c r="K3978" s="24" t="n">
        <f aca="false">IF(Search!$B$3="",0,IF($A3978="",N(K3977),IF(ISNUMBER(SEARCH(Search!$B$3,$A3978&amp;"")),N(K3977)+1,N(K3977))))</f>
        <v>0</v>
      </c>
    </row>
    <row r="3979" customFormat="false" ht="15" hidden="false" customHeight="false" outlineLevel="0" collapsed="false">
      <c r="K3979" s="24" t="n">
        <f aca="false">IF(Search!$B$3="",0,IF($A3979="",N(K3978),IF(ISNUMBER(SEARCH(Search!$B$3,$A3979&amp;"")),N(K3978)+1,N(K3978))))</f>
        <v>0</v>
      </c>
    </row>
    <row r="3980" customFormat="false" ht="15" hidden="false" customHeight="false" outlineLevel="0" collapsed="false">
      <c r="K3980" s="24" t="n">
        <f aca="false">IF(Search!$B$3="",0,IF($A3980="",N(K3979),IF(ISNUMBER(SEARCH(Search!$B$3,$A3980&amp;"")),N(K3979)+1,N(K3979))))</f>
        <v>0</v>
      </c>
    </row>
    <row r="3981" customFormat="false" ht="15" hidden="false" customHeight="false" outlineLevel="0" collapsed="false">
      <c r="K3981" s="24" t="n">
        <f aca="false">IF(Search!$B$3="",0,IF($A3981="",N(K3980),IF(ISNUMBER(SEARCH(Search!$B$3,$A3981&amp;"")),N(K3980)+1,N(K3980))))</f>
        <v>0</v>
      </c>
    </row>
    <row r="3982" customFormat="false" ht="15" hidden="false" customHeight="false" outlineLevel="0" collapsed="false">
      <c r="K3982" s="24" t="n">
        <f aca="false">IF(Search!$B$3="",0,IF($A3982="",N(K3981),IF(ISNUMBER(SEARCH(Search!$B$3,$A3982&amp;"")),N(K3981)+1,N(K3981))))</f>
        <v>0</v>
      </c>
    </row>
    <row r="3983" customFormat="false" ht="15" hidden="false" customHeight="false" outlineLevel="0" collapsed="false">
      <c r="K3983" s="24" t="n">
        <f aca="false">IF(Search!$B$3="",0,IF($A3983="",N(K3982),IF(ISNUMBER(SEARCH(Search!$B$3,$A3983&amp;"")),N(K3982)+1,N(K3982))))</f>
        <v>0</v>
      </c>
    </row>
    <row r="3984" customFormat="false" ht="15" hidden="false" customHeight="false" outlineLevel="0" collapsed="false">
      <c r="K3984" s="24" t="n">
        <f aca="false">IF(Search!$B$3="",0,IF($A3984="",N(K3983),IF(ISNUMBER(SEARCH(Search!$B$3,$A3984&amp;"")),N(K3983)+1,N(K3983))))</f>
        <v>0</v>
      </c>
    </row>
    <row r="3985" customFormat="false" ht="15" hidden="false" customHeight="false" outlineLevel="0" collapsed="false">
      <c r="K3985" s="24" t="n">
        <f aca="false">IF(Search!$B$3="",0,IF($A3985="",N(K3984),IF(ISNUMBER(SEARCH(Search!$B$3,$A3985&amp;"")),N(K3984)+1,N(K3984))))</f>
        <v>0</v>
      </c>
    </row>
    <row r="3986" customFormat="false" ht="15" hidden="false" customHeight="false" outlineLevel="0" collapsed="false">
      <c r="K3986" s="24" t="n">
        <f aca="false">IF(Search!$B$3="",0,IF($A3986="",N(K3985),IF(ISNUMBER(SEARCH(Search!$B$3,$A3986&amp;"")),N(K3985)+1,N(K3985))))</f>
        <v>0</v>
      </c>
    </row>
    <row r="3987" customFormat="false" ht="15" hidden="false" customHeight="false" outlineLevel="0" collapsed="false">
      <c r="K3987" s="24" t="n">
        <f aca="false">IF(Search!$B$3="",0,IF($A3987="",N(K3986),IF(ISNUMBER(SEARCH(Search!$B$3,$A3987&amp;"")),N(K3986)+1,N(K3986))))</f>
        <v>0</v>
      </c>
    </row>
    <row r="3988" customFormat="false" ht="15" hidden="false" customHeight="false" outlineLevel="0" collapsed="false">
      <c r="K3988" s="24" t="n">
        <f aca="false">IF(Search!$B$3="",0,IF($A3988="",N(K3987),IF(ISNUMBER(SEARCH(Search!$B$3,$A3988&amp;"")),N(K3987)+1,N(K3987))))</f>
        <v>0</v>
      </c>
    </row>
    <row r="3989" customFormat="false" ht="15" hidden="false" customHeight="false" outlineLevel="0" collapsed="false">
      <c r="K3989" s="24" t="n">
        <f aca="false">IF(Search!$B$3="",0,IF($A3989="",N(K3988),IF(ISNUMBER(SEARCH(Search!$B$3,$A3989&amp;"")),N(K3988)+1,N(K3988))))</f>
        <v>0</v>
      </c>
    </row>
    <row r="3990" customFormat="false" ht="15" hidden="false" customHeight="false" outlineLevel="0" collapsed="false">
      <c r="K3990" s="24" t="n">
        <f aca="false">IF(Search!$B$3="",0,IF($A3990="",N(K3989),IF(ISNUMBER(SEARCH(Search!$B$3,$A3990&amp;"")),N(K3989)+1,N(K3989))))</f>
        <v>0</v>
      </c>
    </row>
    <row r="3991" customFormat="false" ht="15" hidden="false" customHeight="false" outlineLevel="0" collapsed="false">
      <c r="K3991" s="24" t="n">
        <f aca="false">IF(Search!$B$3="",0,IF($A3991="",N(K3990),IF(ISNUMBER(SEARCH(Search!$B$3,$A3991&amp;"")),N(K3990)+1,N(K3990))))</f>
        <v>0</v>
      </c>
    </row>
    <row r="3992" customFormat="false" ht="15" hidden="false" customHeight="false" outlineLevel="0" collapsed="false">
      <c r="K3992" s="24" t="n">
        <f aca="false">IF(Search!$B$3="",0,IF($A3992="",N(K3991),IF(ISNUMBER(SEARCH(Search!$B$3,$A3992&amp;"")),N(K3991)+1,N(K3991))))</f>
        <v>0</v>
      </c>
    </row>
    <row r="3993" customFormat="false" ht="15" hidden="false" customHeight="false" outlineLevel="0" collapsed="false">
      <c r="K3993" s="24" t="n">
        <f aca="false">IF(Search!$B$3="",0,IF($A3993="",N(K3992),IF(ISNUMBER(SEARCH(Search!$B$3,$A3993&amp;"")),N(K3992)+1,N(K3992))))</f>
        <v>0</v>
      </c>
    </row>
    <row r="3994" customFormat="false" ht="15" hidden="false" customHeight="false" outlineLevel="0" collapsed="false">
      <c r="K3994" s="24" t="n">
        <f aca="false">IF(Search!$B$3="",0,IF($A3994="",N(K3993),IF(ISNUMBER(SEARCH(Search!$B$3,$A3994&amp;"")),N(K3993)+1,N(K3993))))</f>
        <v>0</v>
      </c>
    </row>
    <row r="3995" customFormat="false" ht="15" hidden="false" customHeight="false" outlineLevel="0" collapsed="false">
      <c r="K3995" s="24" t="n">
        <f aca="false">IF(Search!$B$3="",0,IF($A3995="",N(K3994),IF(ISNUMBER(SEARCH(Search!$B$3,$A3995&amp;"")),N(K3994)+1,N(K3994))))</f>
        <v>0</v>
      </c>
    </row>
    <row r="3996" customFormat="false" ht="15" hidden="false" customHeight="false" outlineLevel="0" collapsed="false">
      <c r="K3996" s="24" t="n">
        <f aca="false">IF(Search!$B$3="",0,IF($A3996="",N(K3995),IF(ISNUMBER(SEARCH(Search!$B$3,$A3996&amp;"")),N(K3995)+1,N(K3995))))</f>
        <v>0</v>
      </c>
    </row>
    <row r="3997" customFormat="false" ht="15" hidden="false" customHeight="false" outlineLevel="0" collapsed="false">
      <c r="K3997" s="24" t="n">
        <f aca="false">IF(Search!$B$3="",0,IF($A3997="",N(K3996),IF(ISNUMBER(SEARCH(Search!$B$3,$A3997&amp;"")),N(K3996)+1,N(K3996))))</f>
        <v>0</v>
      </c>
    </row>
    <row r="3998" customFormat="false" ht="15" hidden="false" customHeight="false" outlineLevel="0" collapsed="false">
      <c r="K3998" s="24" t="n">
        <f aca="false">IF(Search!$B$3="",0,IF($A3998="",N(K3997),IF(ISNUMBER(SEARCH(Search!$B$3,$A3998&amp;"")),N(K3997)+1,N(K3997))))</f>
        <v>0</v>
      </c>
    </row>
    <row r="3999" customFormat="false" ht="15" hidden="false" customHeight="false" outlineLevel="0" collapsed="false">
      <c r="K3999" s="24" t="n">
        <f aca="false">IF(Search!$B$3="",0,IF($A3999="",N(K3998),IF(ISNUMBER(SEARCH(Search!$B$3,$A3999&amp;"")),N(K3998)+1,N(K3998))))</f>
        <v>0</v>
      </c>
    </row>
    <row r="4000" customFormat="false" ht="15" hidden="false" customHeight="false" outlineLevel="0" collapsed="false">
      <c r="K4000" s="24" t="n">
        <f aca="false">IF(Search!$B$3="",0,IF($A4000="",N(K3999),IF(ISNUMBER(SEARCH(Search!$B$3,$A4000&amp;"")),N(K3999)+1,N(K3999))))</f>
        <v>0</v>
      </c>
    </row>
    <row r="4001" customFormat="false" ht="15" hidden="false" customHeight="false" outlineLevel="0" collapsed="false">
      <c r="K4001" s="24" t="n">
        <f aca="false">IF(Search!$B$3="",0,IF($A4001="",N(K4000),IF(ISNUMBER(SEARCH(Search!$B$3,$A4001&amp;"")),N(K4000)+1,N(K4000))))</f>
        <v>0</v>
      </c>
    </row>
    <row r="4002" customFormat="false" ht="15" hidden="false" customHeight="false" outlineLevel="0" collapsed="false">
      <c r="K4002" s="24" t="n">
        <f aca="false">IF(Search!$B$3="",0,IF($A4002="",N(K4001),IF(ISNUMBER(SEARCH(Search!$B$3,$A4002&amp;"")),N(K4001)+1,N(K4001))))</f>
        <v>0</v>
      </c>
    </row>
    <row r="4003" customFormat="false" ht="15" hidden="false" customHeight="false" outlineLevel="0" collapsed="false">
      <c r="K4003" s="24" t="n">
        <f aca="false">IF(Search!$B$3="",0,IF($A4003="",N(K4002),IF(ISNUMBER(SEARCH(Search!$B$3,$A4003&amp;"")),N(K4002)+1,N(K4002))))</f>
        <v>0</v>
      </c>
    </row>
    <row r="4004" customFormat="false" ht="15" hidden="false" customHeight="false" outlineLevel="0" collapsed="false">
      <c r="K4004" s="24" t="n">
        <f aca="false">IF(Search!$B$3="",0,IF($A4004="",N(K4003),IF(ISNUMBER(SEARCH(Search!$B$3,$A4004&amp;"")),N(K4003)+1,N(K4003))))</f>
        <v>0</v>
      </c>
    </row>
    <row r="4005" customFormat="false" ht="15" hidden="false" customHeight="false" outlineLevel="0" collapsed="false">
      <c r="K4005" s="24" t="n">
        <f aca="false">IF(Search!$B$3="",0,IF($A4005="",N(K4004),IF(ISNUMBER(SEARCH(Search!$B$3,$A4005&amp;"")),N(K4004)+1,N(K4004))))</f>
        <v>0</v>
      </c>
    </row>
    <row r="4006" customFormat="false" ht="15" hidden="false" customHeight="false" outlineLevel="0" collapsed="false">
      <c r="K4006" s="24" t="n">
        <f aca="false">IF(Search!$B$3="",0,IF($A4006="",N(K4005),IF(ISNUMBER(SEARCH(Search!$B$3,$A4006&amp;"")),N(K4005)+1,N(K4005))))</f>
        <v>0</v>
      </c>
    </row>
    <row r="4007" customFormat="false" ht="15" hidden="false" customHeight="false" outlineLevel="0" collapsed="false">
      <c r="K4007" s="24" t="n">
        <f aca="false">IF(Search!$B$3="",0,IF($A4007="",N(K4006),IF(ISNUMBER(SEARCH(Search!$B$3,$A4007&amp;"")),N(K4006)+1,N(K4006))))</f>
        <v>0</v>
      </c>
    </row>
    <row r="4008" customFormat="false" ht="15" hidden="false" customHeight="false" outlineLevel="0" collapsed="false">
      <c r="K4008" s="24" t="n">
        <f aca="false">IF(Search!$B$3="",0,IF($A4008="",N(K4007),IF(ISNUMBER(SEARCH(Search!$B$3,$A4008&amp;"")),N(K4007)+1,N(K4007))))</f>
        <v>0</v>
      </c>
    </row>
    <row r="4009" customFormat="false" ht="15" hidden="false" customHeight="false" outlineLevel="0" collapsed="false">
      <c r="K4009" s="24" t="n">
        <f aca="false">IF(Search!$B$3="",0,IF($A4009="",N(K4008),IF(ISNUMBER(SEARCH(Search!$B$3,$A4009&amp;"")),N(K4008)+1,N(K4008))))</f>
        <v>0</v>
      </c>
    </row>
    <row r="4010" customFormat="false" ht="15" hidden="false" customHeight="false" outlineLevel="0" collapsed="false">
      <c r="K4010" s="24" t="n">
        <f aca="false">IF(Search!$B$3="",0,IF($A4010="",N(K4009),IF(ISNUMBER(SEARCH(Search!$B$3,$A4010&amp;"")),N(K4009)+1,N(K4009))))</f>
        <v>0</v>
      </c>
    </row>
    <row r="4011" customFormat="false" ht="15" hidden="false" customHeight="false" outlineLevel="0" collapsed="false">
      <c r="K4011" s="24" t="n">
        <f aca="false">IF(Search!$B$3="",0,IF($A4011="",N(K4010),IF(ISNUMBER(SEARCH(Search!$B$3,$A4011&amp;"")),N(K4010)+1,N(K4010))))</f>
        <v>0</v>
      </c>
    </row>
    <row r="4012" customFormat="false" ht="15" hidden="false" customHeight="false" outlineLevel="0" collapsed="false">
      <c r="K4012" s="24" t="n">
        <f aca="false">IF(Search!$B$3="",0,IF($A4012="",N(K4011),IF(ISNUMBER(SEARCH(Search!$B$3,$A4012&amp;"")),N(K4011)+1,N(K4011))))</f>
        <v>0</v>
      </c>
    </row>
    <row r="4013" customFormat="false" ht="15" hidden="false" customHeight="false" outlineLevel="0" collapsed="false">
      <c r="K4013" s="24" t="n">
        <f aca="false">IF(Search!$B$3="",0,IF($A4013="",N(K4012),IF(ISNUMBER(SEARCH(Search!$B$3,$A4013&amp;"")),N(K4012)+1,N(K4012))))</f>
        <v>0</v>
      </c>
    </row>
    <row r="4014" customFormat="false" ht="15" hidden="false" customHeight="false" outlineLevel="0" collapsed="false">
      <c r="K4014" s="24" t="n">
        <f aca="false">IF(Search!$B$3="",0,IF($A4014="",N(K4013),IF(ISNUMBER(SEARCH(Search!$B$3,$A4014&amp;"")),N(K4013)+1,N(K4013))))</f>
        <v>0</v>
      </c>
    </row>
    <row r="4015" customFormat="false" ht="15" hidden="false" customHeight="false" outlineLevel="0" collapsed="false">
      <c r="K4015" s="24" t="n">
        <f aca="false">IF(Search!$B$3="",0,IF($A4015="",N(K4014),IF(ISNUMBER(SEARCH(Search!$B$3,$A4015&amp;"")),N(K4014)+1,N(K4014))))</f>
        <v>0</v>
      </c>
    </row>
    <row r="4016" customFormat="false" ht="15" hidden="false" customHeight="false" outlineLevel="0" collapsed="false">
      <c r="K4016" s="24" t="n">
        <f aca="false">IF(Search!$B$3="",0,IF($A4016="",N(K4015),IF(ISNUMBER(SEARCH(Search!$B$3,$A4016&amp;"")),N(K4015)+1,N(K4015))))</f>
        <v>0</v>
      </c>
    </row>
    <row r="4017" customFormat="false" ht="15" hidden="false" customHeight="false" outlineLevel="0" collapsed="false">
      <c r="K4017" s="24" t="n">
        <f aca="false">IF(Search!$B$3="",0,IF($A4017="",N(K4016),IF(ISNUMBER(SEARCH(Search!$B$3,$A4017&amp;"")),N(K4016)+1,N(K4016))))</f>
        <v>0</v>
      </c>
    </row>
    <row r="4018" customFormat="false" ht="15" hidden="false" customHeight="false" outlineLevel="0" collapsed="false">
      <c r="K4018" s="24" t="n">
        <f aca="false">IF(Search!$B$3="",0,IF($A4018="",N(K4017),IF(ISNUMBER(SEARCH(Search!$B$3,$A4018&amp;"")),N(K4017)+1,N(K4017))))</f>
        <v>0</v>
      </c>
    </row>
    <row r="4019" customFormat="false" ht="15" hidden="false" customHeight="false" outlineLevel="0" collapsed="false">
      <c r="K4019" s="24" t="n">
        <f aca="false">IF(Search!$B$3="",0,IF($A4019="",N(K4018),IF(ISNUMBER(SEARCH(Search!$B$3,$A4019&amp;"")),N(K4018)+1,N(K4018))))</f>
        <v>0</v>
      </c>
    </row>
    <row r="4020" customFormat="false" ht="15" hidden="false" customHeight="false" outlineLevel="0" collapsed="false">
      <c r="K4020" s="24" t="n">
        <f aca="false">IF(Search!$B$3="",0,IF($A4020="",N(K4019),IF(ISNUMBER(SEARCH(Search!$B$3,$A4020&amp;"")),N(K4019)+1,N(K4019))))</f>
        <v>0</v>
      </c>
    </row>
    <row r="4021" customFormat="false" ht="15" hidden="false" customHeight="false" outlineLevel="0" collapsed="false">
      <c r="K4021" s="24" t="n">
        <f aca="false">IF(Search!$B$3="",0,IF($A4021="",N(K4020),IF(ISNUMBER(SEARCH(Search!$B$3,$A4021&amp;"")),N(K4020)+1,N(K4020))))</f>
        <v>0</v>
      </c>
    </row>
    <row r="4022" customFormat="false" ht="15" hidden="false" customHeight="false" outlineLevel="0" collapsed="false">
      <c r="K4022" s="24" t="n">
        <f aca="false">IF(Search!$B$3="",0,IF($A4022="",N(K4021),IF(ISNUMBER(SEARCH(Search!$B$3,$A4022&amp;"")),N(K4021)+1,N(K4021))))</f>
        <v>0</v>
      </c>
    </row>
    <row r="4023" customFormat="false" ht="15" hidden="false" customHeight="false" outlineLevel="0" collapsed="false">
      <c r="K4023" s="24" t="n">
        <f aca="false">IF(Search!$B$3="",0,IF($A4023="",N(K4022),IF(ISNUMBER(SEARCH(Search!$B$3,$A4023&amp;"")),N(K4022)+1,N(K4022))))</f>
        <v>0</v>
      </c>
    </row>
    <row r="4024" customFormat="false" ht="15" hidden="false" customHeight="false" outlineLevel="0" collapsed="false">
      <c r="K4024" s="24" t="n">
        <f aca="false">IF(Search!$B$3="",0,IF($A4024="",N(K4023),IF(ISNUMBER(SEARCH(Search!$B$3,$A4024&amp;"")),N(K4023)+1,N(K4023))))</f>
        <v>0</v>
      </c>
    </row>
    <row r="4025" customFormat="false" ht="15" hidden="false" customHeight="false" outlineLevel="0" collapsed="false">
      <c r="K4025" s="24" t="n">
        <f aca="false">IF(Search!$B$3="",0,IF($A4025="",N(K4024),IF(ISNUMBER(SEARCH(Search!$B$3,$A4025&amp;"")),N(K4024)+1,N(K4024))))</f>
        <v>0</v>
      </c>
    </row>
    <row r="4026" customFormat="false" ht="15" hidden="false" customHeight="false" outlineLevel="0" collapsed="false">
      <c r="K4026" s="24" t="n">
        <f aca="false">IF(Search!$B$3="",0,IF($A4026="",N(K4025),IF(ISNUMBER(SEARCH(Search!$B$3,$A4026&amp;"")),N(K4025)+1,N(K4025))))</f>
        <v>0</v>
      </c>
    </row>
    <row r="4027" customFormat="false" ht="15" hidden="false" customHeight="false" outlineLevel="0" collapsed="false">
      <c r="K4027" s="24" t="n">
        <f aca="false">IF(Search!$B$3="",0,IF($A4027="",N(K4026),IF(ISNUMBER(SEARCH(Search!$B$3,$A4027&amp;"")),N(K4026)+1,N(K4026))))</f>
        <v>0</v>
      </c>
    </row>
    <row r="4028" customFormat="false" ht="15" hidden="false" customHeight="false" outlineLevel="0" collapsed="false">
      <c r="K4028" s="24" t="n">
        <f aca="false">IF(Search!$B$3="",0,IF($A4028="",N(K4027),IF(ISNUMBER(SEARCH(Search!$B$3,$A4028&amp;"")),N(K4027)+1,N(K4027))))</f>
        <v>0</v>
      </c>
    </row>
    <row r="4029" customFormat="false" ht="15" hidden="false" customHeight="false" outlineLevel="0" collapsed="false">
      <c r="K4029" s="24" t="n">
        <f aca="false">IF(Search!$B$3="",0,IF($A4029="",N(K4028),IF(ISNUMBER(SEARCH(Search!$B$3,$A4029&amp;"")),N(K4028)+1,N(K4028))))</f>
        <v>0</v>
      </c>
    </row>
    <row r="4030" customFormat="false" ht="15" hidden="false" customHeight="false" outlineLevel="0" collapsed="false">
      <c r="K4030" s="24" t="n">
        <f aca="false">IF(Search!$B$3="",0,IF($A4030="",N(K4029),IF(ISNUMBER(SEARCH(Search!$B$3,$A4030&amp;"")),N(K4029)+1,N(K4029))))</f>
        <v>0</v>
      </c>
    </row>
    <row r="4031" customFormat="false" ht="15" hidden="false" customHeight="false" outlineLevel="0" collapsed="false">
      <c r="K4031" s="24" t="n">
        <f aca="false">IF(Search!$B$3="",0,IF($A4031="",N(K4030),IF(ISNUMBER(SEARCH(Search!$B$3,$A4031&amp;"")),N(K4030)+1,N(K4030))))</f>
        <v>0</v>
      </c>
    </row>
    <row r="4032" customFormat="false" ht="15" hidden="false" customHeight="false" outlineLevel="0" collapsed="false">
      <c r="K4032" s="24" t="n">
        <f aca="false">IF(Search!$B$3="",0,IF($A4032="",N(K4031),IF(ISNUMBER(SEARCH(Search!$B$3,$A4032&amp;"")),N(K4031)+1,N(K4031))))</f>
        <v>0</v>
      </c>
    </row>
    <row r="4033" customFormat="false" ht="15" hidden="false" customHeight="false" outlineLevel="0" collapsed="false">
      <c r="K4033" s="24" t="n">
        <f aca="false">IF(Search!$B$3="",0,IF($A4033="",N(K4032),IF(ISNUMBER(SEARCH(Search!$B$3,$A4033&amp;"")),N(K4032)+1,N(K4032))))</f>
        <v>0</v>
      </c>
    </row>
    <row r="4034" customFormat="false" ht="15" hidden="false" customHeight="false" outlineLevel="0" collapsed="false">
      <c r="K4034" s="24" t="n">
        <f aca="false">IF(Search!$B$3="",0,IF($A4034="",N(K4033),IF(ISNUMBER(SEARCH(Search!$B$3,$A4034&amp;"")),N(K4033)+1,N(K4033))))</f>
        <v>0</v>
      </c>
    </row>
    <row r="4035" customFormat="false" ht="15" hidden="false" customHeight="false" outlineLevel="0" collapsed="false">
      <c r="K4035" s="24" t="n">
        <f aca="false">IF(Search!$B$3="",0,IF($A4035="",N(K4034),IF(ISNUMBER(SEARCH(Search!$B$3,$A4035&amp;"")),N(K4034)+1,N(K4034))))</f>
        <v>0</v>
      </c>
    </row>
    <row r="4036" customFormat="false" ht="15" hidden="false" customHeight="false" outlineLevel="0" collapsed="false">
      <c r="K4036" s="24" t="n">
        <f aca="false">IF(Search!$B$3="",0,IF($A4036="",N(K4035),IF(ISNUMBER(SEARCH(Search!$B$3,$A4036&amp;"")),N(K4035)+1,N(K4035))))</f>
        <v>0</v>
      </c>
    </row>
    <row r="4037" customFormat="false" ht="15" hidden="false" customHeight="false" outlineLevel="0" collapsed="false">
      <c r="K4037" s="24" t="n">
        <f aca="false">IF(Search!$B$3="",0,IF($A4037="",N(K4036),IF(ISNUMBER(SEARCH(Search!$B$3,$A4037&amp;"")),N(K4036)+1,N(K4036))))</f>
        <v>0</v>
      </c>
    </row>
    <row r="4038" customFormat="false" ht="15" hidden="false" customHeight="false" outlineLevel="0" collapsed="false">
      <c r="K4038" s="24" t="n">
        <f aca="false">IF(Search!$B$3="",0,IF($A4038="",N(K4037),IF(ISNUMBER(SEARCH(Search!$B$3,$A4038&amp;"")),N(K4037)+1,N(K4037))))</f>
        <v>0</v>
      </c>
    </row>
    <row r="4039" customFormat="false" ht="15" hidden="false" customHeight="false" outlineLevel="0" collapsed="false">
      <c r="K4039" s="24" t="n">
        <f aca="false">IF(Search!$B$3="",0,IF($A4039="",N(K4038),IF(ISNUMBER(SEARCH(Search!$B$3,$A4039&amp;"")),N(K4038)+1,N(K4038))))</f>
        <v>0</v>
      </c>
    </row>
    <row r="4040" customFormat="false" ht="15" hidden="false" customHeight="false" outlineLevel="0" collapsed="false">
      <c r="K4040" s="24" t="n">
        <f aca="false">IF(Search!$B$3="",0,IF($A4040="",N(K4039),IF(ISNUMBER(SEARCH(Search!$B$3,$A4040&amp;"")),N(K4039)+1,N(K4039))))</f>
        <v>0</v>
      </c>
    </row>
    <row r="4041" customFormat="false" ht="15" hidden="false" customHeight="false" outlineLevel="0" collapsed="false">
      <c r="K4041" s="24" t="n">
        <f aca="false">IF(Search!$B$3="",0,IF($A4041="",N(K4040),IF(ISNUMBER(SEARCH(Search!$B$3,$A4041&amp;"")),N(K4040)+1,N(K4040))))</f>
        <v>0</v>
      </c>
    </row>
    <row r="4042" customFormat="false" ht="15" hidden="false" customHeight="false" outlineLevel="0" collapsed="false">
      <c r="K4042" s="24" t="n">
        <f aca="false">IF(Search!$B$3="",0,IF($A4042="",N(K4041),IF(ISNUMBER(SEARCH(Search!$B$3,$A4042&amp;"")),N(K4041)+1,N(K4041))))</f>
        <v>0</v>
      </c>
    </row>
    <row r="4043" customFormat="false" ht="15" hidden="false" customHeight="false" outlineLevel="0" collapsed="false">
      <c r="K4043" s="24" t="n">
        <f aca="false">IF(Search!$B$3="",0,IF($A4043="",N(K4042),IF(ISNUMBER(SEARCH(Search!$B$3,$A4043&amp;"")),N(K4042)+1,N(K4042))))</f>
        <v>0</v>
      </c>
    </row>
    <row r="4044" customFormat="false" ht="15" hidden="false" customHeight="false" outlineLevel="0" collapsed="false">
      <c r="K4044" s="24" t="n">
        <f aca="false">IF(Search!$B$3="",0,IF($A4044="",N(K4043),IF(ISNUMBER(SEARCH(Search!$B$3,$A4044&amp;"")),N(K4043)+1,N(K4043))))</f>
        <v>0</v>
      </c>
    </row>
    <row r="4045" customFormat="false" ht="15" hidden="false" customHeight="false" outlineLevel="0" collapsed="false">
      <c r="K4045" s="24" t="n">
        <f aca="false">IF(Search!$B$3="",0,IF($A4045="",N(K4044),IF(ISNUMBER(SEARCH(Search!$B$3,$A4045&amp;"")),N(K4044)+1,N(K4044))))</f>
        <v>0</v>
      </c>
    </row>
    <row r="4046" customFormat="false" ht="15" hidden="false" customHeight="false" outlineLevel="0" collapsed="false">
      <c r="K4046" s="24" t="n">
        <f aca="false">IF(Search!$B$3="",0,IF($A4046="",N(K4045),IF(ISNUMBER(SEARCH(Search!$B$3,$A4046&amp;"")),N(K4045)+1,N(K4045))))</f>
        <v>0</v>
      </c>
    </row>
    <row r="4047" customFormat="false" ht="15" hidden="false" customHeight="false" outlineLevel="0" collapsed="false">
      <c r="K4047" s="24" t="n">
        <f aca="false">IF(Search!$B$3="",0,IF($A4047="",N(K4046),IF(ISNUMBER(SEARCH(Search!$B$3,$A4047&amp;"")),N(K4046)+1,N(K4046))))</f>
        <v>0</v>
      </c>
    </row>
    <row r="4048" customFormat="false" ht="15" hidden="false" customHeight="false" outlineLevel="0" collapsed="false">
      <c r="K4048" s="24" t="n">
        <f aca="false">IF(Search!$B$3="",0,IF($A4048="",N(K4047),IF(ISNUMBER(SEARCH(Search!$B$3,$A4048&amp;"")),N(K4047)+1,N(K4047))))</f>
        <v>0</v>
      </c>
    </row>
    <row r="4049" customFormat="false" ht="15" hidden="false" customHeight="false" outlineLevel="0" collapsed="false">
      <c r="K4049" s="24" t="n">
        <f aca="false">IF(Search!$B$3="",0,IF($A4049="",N(K4048),IF(ISNUMBER(SEARCH(Search!$B$3,$A4049&amp;"")),N(K4048)+1,N(K4048))))</f>
        <v>0</v>
      </c>
    </row>
    <row r="4050" customFormat="false" ht="15" hidden="false" customHeight="false" outlineLevel="0" collapsed="false">
      <c r="K4050" s="24" t="n">
        <f aca="false">IF(Search!$B$3="",0,IF($A4050="",N(K4049),IF(ISNUMBER(SEARCH(Search!$B$3,$A4050&amp;"")),N(K4049)+1,N(K4049))))</f>
        <v>0</v>
      </c>
    </row>
    <row r="4051" customFormat="false" ht="15" hidden="false" customHeight="false" outlineLevel="0" collapsed="false">
      <c r="K4051" s="24" t="n">
        <f aca="false">IF(Search!$B$3="",0,IF($A4051="",N(K4050),IF(ISNUMBER(SEARCH(Search!$B$3,$A4051&amp;"")),N(K4050)+1,N(K4050))))</f>
        <v>0</v>
      </c>
    </row>
    <row r="4052" customFormat="false" ht="15" hidden="false" customHeight="false" outlineLevel="0" collapsed="false">
      <c r="K4052" s="24" t="n">
        <f aca="false">IF(Search!$B$3="",0,IF($A4052="",N(K4051),IF(ISNUMBER(SEARCH(Search!$B$3,$A4052&amp;"")),N(K4051)+1,N(K4051))))</f>
        <v>0</v>
      </c>
    </row>
    <row r="4053" customFormat="false" ht="15" hidden="false" customHeight="false" outlineLevel="0" collapsed="false">
      <c r="K4053" s="24" t="n">
        <f aca="false">IF(Search!$B$3="",0,IF($A4053="",N(K4052),IF(ISNUMBER(SEARCH(Search!$B$3,$A4053&amp;"")),N(K4052)+1,N(K4052))))</f>
        <v>0</v>
      </c>
    </row>
    <row r="4054" customFormat="false" ht="15" hidden="false" customHeight="false" outlineLevel="0" collapsed="false">
      <c r="K4054" s="24" t="n">
        <f aca="false">IF(Search!$B$3="",0,IF($A4054="",N(K4053),IF(ISNUMBER(SEARCH(Search!$B$3,$A4054&amp;"")),N(K4053)+1,N(K4053))))</f>
        <v>0</v>
      </c>
    </row>
    <row r="4055" customFormat="false" ht="15" hidden="false" customHeight="false" outlineLevel="0" collapsed="false">
      <c r="K4055" s="24" t="n">
        <f aca="false">IF(Search!$B$3="",0,IF($A4055="",N(K4054),IF(ISNUMBER(SEARCH(Search!$B$3,$A4055&amp;"")),N(K4054)+1,N(K4054))))</f>
        <v>0</v>
      </c>
    </row>
    <row r="4056" customFormat="false" ht="15" hidden="false" customHeight="false" outlineLevel="0" collapsed="false">
      <c r="K4056" s="24" t="n">
        <f aca="false">IF(Search!$B$3="",0,IF($A4056="",N(K4055),IF(ISNUMBER(SEARCH(Search!$B$3,$A4056&amp;"")),N(K4055)+1,N(K4055))))</f>
        <v>0</v>
      </c>
    </row>
    <row r="4057" customFormat="false" ht="15" hidden="false" customHeight="false" outlineLevel="0" collapsed="false">
      <c r="K4057" s="24" t="n">
        <f aca="false">IF(Search!$B$3="",0,IF($A4057="",N(K4056),IF(ISNUMBER(SEARCH(Search!$B$3,$A4057&amp;"")),N(K4056)+1,N(K4056))))</f>
        <v>0</v>
      </c>
    </row>
    <row r="4058" customFormat="false" ht="15" hidden="false" customHeight="false" outlineLevel="0" collapsed="false">
      <c r="K4058" s="24" t="n">
        <f aca="false">IF(Search!$B$3="",0,IF($A4058="",N(K4057),IF(ISNUMBER(SEARCH(Search!$B$3,$A4058&amp;"")),N(K4057)+1,N(K4057))))</f>
        <v>0</v>
      </c>
    </row>
    <row r="4059" customFormat="false" ht="15" hidden="false" customHeight="false" outlineLevel="0" collapsed="false">
      <c r="K4059" s="24" t="n">
        <f aca="false">IF(Search!$B$3="",0,IF($A4059="",N(K4058),IF(ISNUMBER(SEARCH(Search!$B$3,$A4059&amp;"")),N(K4058)+1,N(K4058))))</f>
        <v>0</v>
      </c>
    </row>
    <row r="4060" customFormat="false" ht="15" hidden="false" customHeight="false" outlineLevel="0" collapsed="false">
      <c r="K4060" s="24" t="n">
        <f aca="false">IF(Search!$B$3="",0,IF($A4060="",N(K4059),IF(ISNUMBER(SEARCH(Search!$B$3,$A4060&amp;"")),N(K4059)+1,N(K4059))))</f>
        <v>0</v>
      </c>
    </row>
    <row r="4061" customFormat="false" ht="15" hidden="false" customHeight="false" outlineLevel="0" collapsed="false">
      <c r="K4061" s="24" t="n">
        <f aca="false">IF(Search!$B$3="",0,IF($A4061="",N(K4060),IF(ISNUMBER(SEARCH(Search!$B$3,$A4061&amp;"")),N(K4060)+1,N(K4060))))</f>
        <v>0</v>
      </c>
    </row>
    <row r="4062" customFormat="false" ht="15" hidden="false" customHeight="false" outlineLevel="0" collapsed="false">
      <c r="K4062" s="24" t="n">
        <f aca="false">IF(Search!$B$3="",0,IF($A4062="",N(K4061),IF(ISNUMBER(SEARCH(Search!$B$3,$A4062&amp;"")),N(K4061)+1,N(K4061))))</f>
        <v>0</v>
      </c>
    </row>
    <row r="4063" customFormat="false" ht="15" hidden="false" customHeight="false" outlineLevel="0" collapsed="false">
      <c r="K4063" s="24" t="n">
        <f aca="false">IF(Search!$B$3="",0,IF($A4063="",N(K4062),IF(ISNUMBER(SEARCH(Search!$B$3,$A4063&amp;"")),N(K4062)+1,N(K4062))))</f>
        <v>0</v>
      </c>
    </row>
    <row r="4064" customFormat="false" ht="15" hidden="false" customHeight="false" outlineLevel="0" collapsed="false">
      <c r="K4064" s="24" t="n">
        <f aca="false">IF(Search!$B$3="",0,IF($A4064="",N(K4063),IF(ISNUMBER(SEARCH(Search!$B$3,$A4064&amp;"")),N(K4063)+1,N(K4063))))</f>
        <v>0</v>
      </c>
    </row>
    <row r="4065" customFormat="false" ht="15" hidden="false" customHeight="false" outlineLevel="0" collapsed="false">
      <c r="K4065" s="24" t="n">
        <f aca="false">IF(Search!$B$3="",0,IF($A4065="",N(K4064),IF(ISNUMBER(SEARCH(Search!$B$3,$A4065&amp;"")),N(K4064)+1,N(K4064))))</f>
        <v>0</v>
      </c>
    </row>
    <row r="4066" customFormat="false" ht="15" hidden="false" customHeight="false" outlineLevel="0" collapsed="false">
      <c r="K4066" s="24" t="n">
        <f aca="false">IF(Search!$B$3="",0,IF($A4066="",N(K4065),IF(ISNUMBER(SEARCH(Search!$B$3,$A4066&amp;"")),N(K4065)+1,N(K4065))))</f>
        <v>0</v>
      </c>
    </row>
    <row r="4067" customFormat="false" ht="15" hidden="false" customHeight="false" outlineLevel="0" collapsed="false">
      <c r="K4067" s="24" t="n">
        <f aca="false">IF(Search!$B$3="",0,IF($A4067="",N(K4066),IF(ISNUMBER(SEARCH(Search!$B$3,$A4067&amp;"")),N(K4066)+1,N(K4066))))</f>
        <v>0</v>
      </c>
    </row>
    <row r="4068" customFormat="false" ht="15" hidden="false" customHeight="false" outlineLevel="0" collapsed="false">
      <c r="K4068" s="24" t="n">
        <f aca="false">IF(Search!$B$3="",0,IF($A4068="",N(K4067),IF(ISNUMBER(SEARCH(Search!$B$3,$A4068&amp;"")),N(K4067)+1,N(K4067))))</f>
        <v>0</v>
      </c>
    </row>
    <row r="4069" customFormat="false" ht="15" hidden="false" customHeight="false" outlineLevel="0" collapsed="false">
      <c r="K4069" s="24" t="n">
        <f aca="false">IF(Search!$B$3="",0,IF($A4069="",N(K4068),IF(ISNUMBER(SEARCH(Search!$B$3,$A4069&amp;"")),N(K4068)+1,N(K4068))))</f>
        <v>0</v>
      </c>
    </row>
    <row r="4070" customFormat="false" ht="15" hidden="false" customHeight="false" outlineLevel="0" collapsed="false">
      <c r="K4070" s="24" t="n">
        <f aca="false">IF(Search!$B$3="",0,IF($A4070="",N(K4069),IF(ISNUMBER(SEARCH(Search!$B$3,$A4070&amp;"")),N(K4069)+1,N(K4069))))</f>
        <v>0</v>
      </c>
    </row>
    <row r="4071" customFormat="false" ht="15" hidden="false" customHeight="false" outlineLevel="0" collapsed="false">
      <c r="K4071" s="24" t="n">
        <f aca="false">IF(Search!$B$3="",0,IF($A4071="",N(K4070),IF(ISNUMBER(SEARCH(Search!$B$3,$A4071&amp;"")),N(K4070)+1,N(K4070))))</f>
        <v>0</v>
      </c>
    </row>
    <row r="4072" customFormat="false" ht="15" hidden="false" customHeight="false" outlineLevel="0" collapsed="false">
      <c r="K4072" s="24" t="n">
        <f aca="false">IF(Search!$B$3="",0,IF($A4072="",N(K4071),IF(ISNUMBER(SEARCH(Search!$B$3,$A4072&amp;"")),N(K4071)+1,N(K4071))))</f>
        <v>0</v>
      </c>
    </row>
    <row r="4073" customFormat="false" ht="15" hidden="false" customHeight="false" outlineLevel="0" collapsed="false">
      <c r="K4073" s="24" t="n">
        <f aca="false">IF(Search!$B$3="",0,IF($A4073="",N(K4072),IF(ISNUMBER(SEARCH(Search!$B$3,$A4073&amp;"")),N(K4072)+1,N(K4072))))</f>
        <v>0</v>
      </c>
    </row>
    <row r="4074" customFormat="false" ht="15" hidden="false" customHeight="false" outlineLevel="0" collapsed="false">
      <c r="K4074" s="24" t="n">
        <f aca="false">IF(Search!$B$3="",0,IF($A4074="",N(K4073),IF(ISNUMBER(SEARCH(Search!$B$3,$A4074&amp;"")),N(K4073)+1,N(K4073))))</f>
        <v>0</v>
      </c>
    </row>
    <row r="4075" customFormat="false" ht="15" hidden="false" customHeight="false" outlineLevel="0" collapsed="false">
      <c r="K4075" s="24" t="n">
        <f aca="false">IF(Search!$B$3="",0,IF($A4075="",N(K4074),IF(ISNUMBER(SEARCH(Search!$B$3,$A4075&amp;"")),N(K4074)+1,N(K4074))))</f>
        <v>0</v>
      </c>
    </row>
    <row r="4076" customFormat="false" ht="15" hidden="false" customHeight="false" outlineLevel="0" collapsed="false">
      <c r="K4076" s="24" t="n">
        <f aca="false">IF(Search!$B$3="",0,IF($A4076="",N(K4075),IF(ISNUMBER(SEARCH(Search!$B$3,$A4076&amp;"")),N(K4075)+1,N(K4075))))</f>
        <v>0</v>
      </c>
    </row>
    <row r="4077" customFormat="false" ht="15" hidden="false" customHeight="false" outlineLevel="0" collapsed="false">
      <c r="K4077" s="24" t="n">
        <f aca="false">IF(Search!$B$3="",0,IF($A4077="",N(K4076),IF(ISNUMBER(SEARCH(Search!$B$3,$A4077&amp;"")),N(K4076)+1,N(K4076))))</f>
        <v>0</v>
      </c>
    </row>
    <row r="4078" customFormat="false" ht="15" hidden="false" customHeight="false" outlineLevel="0" collapsed="false">
      <c r="K4078" s="24" t="n">
        <f aca="false">IF(Search!$B$3="",0,IF($A4078="",N(K4077),IF(ISNUMBER(SEARCH(Search!$B$3,$A4078&amp;"")),N(K4077)+1,N(K4077))))</f>
        <v>0</v>
      </c>
    </row>
    <row r="4079" customFormat="false" ht="15" hidden="false" customHeight="false" outlineLevel="0" collapsed="false">
      <c r="K4079" s="24" t="n">
        <f aca="false">IF(Search!$B$3="",0,IF($A4079="",N(K4078),IF(ISNUMBER(SEARCH(Search!$B$3,$A4079&amp;"")),N(K4078)+1,N(K4078))))</f>
        <v>0</v>
      </c>
    </row>
    <row r="4080" customFormat="false" ht="15" hidden="false" customHeight="false" outlineLevel="0" collapsed="false">
      <c r="K4080" s="24" t="n">
        <f aca="false">IF(Search!$B$3="",0,IF($A4080="",N(K4079),IF(ISNUMBER(SEARCH(Search!$B$3,$A4080&amp;"")),N(K4079)+1,N(K4079))))</f>
        <v>0</v>
      </c>
    </row>
    <row r="4081" customFormat="false" ht="15" hidden="false" customHeight="false" outlineLevel="0" collapsed="false">
      <c r="K4081" s="24" t="n">
        <f aca="false">IF(Search!$B$3="",0,IF($A4081="",N(K4080),IF(ISNUMBER(SEARCH(Search!$B$3,$A4081&amp;"")),N(K4080)+1,N(K4080))))</f>
        <v>0</v>
      </c>
    </row>
    <row r="4082" customFormat="false" ht="15" hidden="false" customHeight="false" outlineLevel="0" collapsed="false">
      <c r="K4082" s="24" t="n">
        <f aca="false">IF(Search!$B$3="",0,IF($A4082="",N(K4081),IF(ISNUMBER(SEARCH(Search!$B$3,$A4082&amp;"")),N(K4081)+1,N(K4081))))</f>
        <v>0</v>
      </c>
    </row>
    <row r="4083" customFormat="false" ht="15" hidden="false" customHeight="false" outlineLevel="0" collapsed="false">
      <c r="K4083" s="24" t="n">
        <f aca="false">IF(Search!$B$3="",0,IF($A4083="",N(K4082),IF(ISNUMBER(SEARCH(Search!$B$3,$A4083&amp;"")),N(K4082)+1,N(K4082))))</f>
        <v>0</v>
      </c>
    </row>
    <row r="4084" customFormat="false" ht="15" hidden="false" customHeight="false" outlineLevel="0" collapsed="false">
      <c r="K4084" s="24" t="n">
        <f aca="false">IF(Search!$B$3="",0,IF($A4084="",N(K4083),IF(ISNUMBER(SEARCH(Search!$B$3,$A4084&amp;"")),N(K4083)+1,N(K4083))))</f>
        <v>0</v>
      </c>
    </row>
    <row r="4085" customFormat="false" ht="15" hidden="false" customHeight="false" outlineLevel="0" collapsed="false">
      <c r="K4085" s="24" t="n">
        <f aca="false">IF(Search!$B$3="",0,IF($A4085="",N(K4084),IF(ISNUMBER(SEARCH(Search!$B$3,$A4085&amp;"")),N(K4084)+1,N(K4084))))</f>
        <v>0</v>
      </c>
    </row>
    <row r="4086" customFormat="false" ht="15" hidden="false" customHeight="false" outlineLevel="0" collapsed="false">
      <c r="K4086" s="24" t="n">
        <f aca="false">IF(Search!$B$3="",0,IF($A4086="",N(K4085),IF(ISNUMBER(SEARCH(Search!$B$3,$A4086&amp;"")),N(K4085)+1,N(K4085))))</f>
        <v>0</v>
      </c>
    </row>
    <row r="4087" customFormat="false" ht="15" hidden="false" customHeight="false" outlineLevel="0" collapsed="false">
      <c r="K4087" s="24" t="n">
        <f aca="false">IF(Search!$B$3="",0,IF($A4087="",N(K4086),IF(ISNUMBER(SEARCH(Search!$B$3,$A4087&amp;"")),N(K4086)+1,N(K4086))))</f>
        <v>0</v>
      </c>
    </row>
    <row r="4088" customFormat="false" ht="15" hidden="false" customHeight="false" outlineLevel="0" collapsed="false">
      <c r="K4088" s="24" t="n">
        <f aca="false">IF(Search!$B$3="",0,IF($A4088="",N(K4087),IF(ISNUMBER(SEARCH(Search!$B$3,$A4088&amp;"")),N(K4087)+1,N(K4087))))</f>
        <v>0</v>
      </c>
    </row>
    <row r="4089" customFormat="false" ht="15" hidden="false" customHeight="false" outlineLevel="0" collapsed="false">
      <c r="K4089" s="24" t="n">
        <f aca="false">IF(Search!$B$3="",0,IF($A4089="",N(K4088),IF(ISNUMBER(SEARCH(Search!$B$3,$A4089&amp;"")),N(K4088)+1,N(K4088))))</f>
        <v>0</v>
      </c>
    </row>
    <row r="4090" customFormat="false" ht="15" hidden="false" customHeight="false" outlineLevel="0" collapsed="false">
      <c r="K4090" s="24" t="n">
        <f aca="false">IF(Search!$B$3="",0,IF($A4090="",N(K4089),IF(ISNUMBER(SEARCH(Search!$B$3,$A4090&amp;"")),N(K4089)+1,N(K4089))))</f>
        <v>0</v>
      </c>
    </row>
    <row r="4091" customFormat="false" ht="15" hidden="false" customHeight="false" outlineLevel="0" collapsed="false">
      <c r="K4091" s="24" t="n">
        <f aca="false">IF(Search!$B$3="",0,IF($A4091="",N(K4090),IF(ISNUMBER(SEARCH(Search!$B$3,$A4091&amp;"")),N(K4090)+1,N(K4090))))</f>
        <v>0</v>
      </c>
    </row>
    <row r="4092" customFormat="false" ht="15" hidden="false" customHeight="false" outlineLevel="0" collapsed="false">
      <c r="K4092" s="24" t="n">
        <f aca="false">IF(Search!$B$3="",0,IF($A4092="",N(K4091),IF(ISNUMBER(SEARCH(Search!$B$3,$A4092&amp;"")),N(K4091)+1,N(K4091))))</f>
        <v>0</v>
      </c>
    </row>
    <row r="4093" customFormat="false" ht="15" hidden="false" customHeight="false" outlineLevel="0" collapsed="false">
      <c r="K4093" s="24" t="n">
        <f aca="false">IF(Search!$B$3="",0,IF($A4093="",N(K4092),IF(ISNUMBER(SEARCH(Search!$B$3,$A4093&amp;"")),N(K4092)+1,N(K4092))))</f>
        <v>0</v>
      </c>
    </row>
    <row r="4094" customFormat="false" ht="15" hidden="false" customHeight="false" outlineLevel="0" collapsed="false">
      <c r="K4094" s="24" t="n">
        <f aca="false">IF(Search!$B$3="",0,IF($A4094="",N(K4093),IF(ISNUMBER(SEARCH(Search!$B$3,$A4094&amp;"")),N(K4093)+1,N(K4093))))</f>
        <v>0</v>
      </c>
    </row>
    <row r="4095" customFormat="false" ht="15" hidden="false" customHeight="false" outlineLevel="0" collapsed="false">
      <c r="K4095" s="24" t="n">
        <f aca="false">IF(Search!$B$3="",0,IF($A4095="",N(K4094),IF(ISNUMBER(SEARCH(Search!$B$3,$A4095&amp;"")),N(K4094)+1,N(K4094))))</f>
        <v>0</v>
      </c>
    </row>
    <row r="4096" customFormat="false" ht="15" hidden="false" customHeight="false" outlineLevel="0" collapsed="false">
      <c r="K4096" s="24" t="n">
        <f aca="false">IF(Search!$B$3="",0,IF($A4096="",N(K4095),IF(ISNUMBER(SEARCH(Search!$B$3,$A4096&amp;"")),N(K4095)+1,N(K4095))))</f>
        <v>0</v>
      </c>
    </row>
    <row r="4097" customFormat="false" ht="15" hidden="false" customHeight="false" outlineLevel="0" collapsed="false">
      <c r="K4097" s="24" t="n">
        <f aca="false">IF(Search!$B$3="",0,IF($A4097="",N(K4096),IF(ISNUMBER(SEARCH(Search!$B$3,$A4097&amp;"")),N(K4096)+1,N(K4096))))</f>
        <v>0</v>
      </c>
    </row>
    <row r="4098" customFormat="false" ht="15" hidden="false" customHeight="false" outlineLevel="0" collapsed="false">
      <c r="K4098" s="24" t="n">
        <f aca="false">IF(Search!$B$3="",0,IF($A4098="",N(K4097),IF(ISNUMBER(SEARCH(Search!$B$3,$A4098&amp;"")),N(K4097)+1,N(K4097))))</f>
        <v>0</v>
      </c>
    </row>
    <row r="4099" customFormat="false" ht="15" hidden="false" customHeight="false" outlineLevel="0" collapsed="false">
      <c r="K4099" s="24" t="n">
        <f aca="false">IF(Search!$B$3="",0,IF($A4099="",N(K4098),IF(ISNUMBER(SEARCH(Search!$B$3,$A4099&amp;"")),N(K4098)+1,N(K4098))))</f>
        <v>0</v>
      </c>
    </row>
    <row r="4100" customFormat="false" ht="15" hidden="false" customHeight="false" outlineLevel="0" collapsed="false">
      <c r="K4100" s="24" t="n">
        <f aca="false">IF(Search!$B$3="",0,IF($A4100="",N(K4099),IF(ISNUMBER(SEARCH(Search!$B$3,$A4100&amp;"")),N(K4099)+1,N(K4099))))</f>
        <v>0</v>
      </c>
    </row>
    <row r="4101" customFormat="false" ht="15" hidden="false" customHeight="false" outlineLevel="0" collapsed="false">
      <c r="K4101" s="24" t="n">
        <f aca="false">IF(Search!$B$3="",0,IF($A4101="",N(K4100),IF(ISNUMBER(SEARCH(Search!$B$3,$A4101&amp;"")),N(K4100)+1,N(K4100))))</f>
        <v>0</v>
      </c>
    </row>
    <row r="4102" customFormat="false" ht="15" hidden="false" customHeight="false" outlineLevel="0" collapsed="false">
      <c r="K4102" s="24" t="n">
        <f aca="false">IF(Search!$B$3="",0,IF($A4102="",N(K4101),IF(ISNUMBER(SEARCH(Search!$B$3,$A4102&amp;"")),N(K4101)+1,N(K4101))))</f>
        <v>0</v>
      </c>
    </row>
    <row r="4103" customFormat="false" ht="15" hidden="false" customHeight="false" outlineLevel="0" collapsed="false">
      <c r="K4103" s="24" t="n">
        <f aca="false">IF(Search!$B$3="",0,IF($A4103="",N(K4102),IF(ISNUMBER(SEARCH(Search!$B$3,$A4103&amp;"")),N(K4102)+1,N(K4102))))</f>
        <v>0</v>
      </c>
    </row>
    <row r="4104" customFormat="false" ht="15" hidden="false" customHeight="false" outlineLevel="0" collapsed="false">
      <c r="K4104" s="24" t="n">
        <f aca="false">IF(Search!$B$3="",0,IF($A4104="",N(K4103),IF(ISNUMBER(SEARCH(Search!$B$3,$A4104&amp;"")),N(K4103)+1,N(K4103))))</f>
        <v>0</v>
      </c>
    </row>
    <row r="4105" customFormat="false" ht="15" hidden="false" customHeight="false" outlineLevel="0" collapsed="false">
      <c r="K4105" s="24" t="n">
        <f aca="false">IF(Search!$B$3="",0,IF($A4105="",N(K4104),IF(ISNUMBER(SEARCH(Search!$B$3,$A4105&amp;"")),N(K4104)+1,N(K4104))))</f>
        <v>0</v>
      </c>
    </row>
    <row r="4106" customFormat="false" ht="15" hidden="false" customHeight="false" outlineLevel="0" collapsed="false">
      <c r="K4106" s="24" t="n">
        <f aca="false">IF(Search!$B$3="",0,IF($A4106="",N(K4105),IF(ISNUMBER(SEARCH(Search!$B$3,$A4106&amp;"")),N(K4105)+1,N(K4105))))</f>
        <v>0</v>
      </c>
    </row>
    <row r="4107" customFormat="false" ht="15" hidden="false" customHeight="false" outlineLevel="0" collapsed="false">
      <c r="K4107" s="24" t="n">
        <f aca="false">IF(Search!$B$3="",0,IF($A4107="",N(K4106),IF(ISNUMBER(SEARCH(Search!$B$3,$A4107&amp;"")),N(K4106)+1,N(K4106))))</f>
        <v>0</v>
      </c>
    </row>
    <row r="4108" customFormat="false" ht="15" hidden="false" customHeight="false" outlineLevel="0" collapsed="false">
      <c r="K4108" s="24" t="n">
        <f aca="false">IF(Search!$B$3="",0,IF($A4108="",N(K4107),IF(ISNUMBER(SEARCH(Search!$B$3,$A4108&amp;"")),N(K4107)+1,N(K4107))))</f>
        <v>0</v>
      </c>
    </row>
    <row r="4109" customFormat="false" ht="15" hidden="false" customHeight="false" outlineLevel="0" collapsed="false">
      <c r="K4109" s="24" t="n">
        <f aca="false">IF(Search!$B$3="",0,IF($A4109="",N(K4108),IF(ISNUMBER(SEARCH(Search!$B$3,$A4109&amp;"")),N(K4108)+1,N(K4108))))</f>
        <v>0</v>
      </c>
    </row>
    <row r="4110" customFormat="false" ht="15" hidden="false" customHeight="false" outlineLevel="0" collapsed="false">
      <c r="K4110" s="24" t="n">
        <f aca="false">IF(Search!$B$3="",0,IF($A4110="",N(K4109),IF(ISNUMBER(SEARCH(Search!$B$3,$A4110&amp;"")),N(K4109)+1,N(K4109))))</f>
        <v>0</v>
      </c>
    </row>
    <row r="4111" customFormat="false" ht="15" hidden="false" customHeight="false" outlineLevel="0" collapsed="false">
      <c r="K4111" s="24" t="n">
        <f aca="false">IF(Search!$B$3="",0,IF($A4111="",N(K4110),IF(ISNUMBER(SEARCH(Search!$B$3,$A4111&amp;"")),N(K4110)+1,N(K4110))))</f>
        <v>0</v>
      </c>
    </row>
    <row r="4112" customFormat="false" ht="15" hidden="false" customHeight="false" outlineLevel="0" collapsed="false">
      <c r="K4112" s="24" t="n">
        <f aca="false">IF(Search!$B$3="",0,IF($A4112="",N(K4111),IF(ISNUMBER(SEARCH(Search!$B$3,$A4112&amp;"")),N(K4111)+1,N(K4111))))</f>
        <v>0</v>
      </c>
    </row>
    <row r="4113" customFormat="false" ht="15" hidden="false" customHeight="false" outlineLevel="0" collapsed="false">
      <c r="K4113" s="24" t="n">
        <f aca="false">IF(Search!$B$3="",0,IF($A4113="",N(K4112),IF(ISNUMBER(SEARCH(Search!$B$3,$A4113&amp;"")),N(K4112)+1,N(K4112))))</f>
        <v>0</v>
      </c>
    </row>
    <row r="4114" customFormat="false" ht="15" hidden="false" customHeight="false" outlineLevel="0" collapsed="false">
      <c r="K4114" s="24" t="n">
        <f aca="false">IF(Search!$B$3="",0,IF($A4114="",N(K4113),IF(ISNUMBER(SEARCH(Search!$B$3,$A4114&amp;"")),N(K4113)+1,N(K4113))))</f>
        <v>0</v>
      </c>
    </row>
    <row r="4115" customFormat="false" ht="15" hidden="false" customHeight="false" outlineLevel="0" collapsed="false">
      <c r="K4115" s="24" t="n">
        <f aca="false">IF(Search!$B$3="",0,IF($A4115="",N(K4114),IF(ISNUMBER(SEARCH(Search!$B$3,$A4115&amp;"")),N(K4114)+1,N(K4114))))</f>
        <v>0</v>
      </c>
    </row>
    <row r="4116" customFormat="false" ht="15" hidden="false" customHeight="false" outlineLevel="0" collapsed="false">
      <c r="K4116" s="24" t="n">
        <f aca="false">IF(Search!$B$3="",0,IF($A4116="",N(K4115),IF(ISNUMBER(SEARCH(Search!$B$3,$A4116&amp;"")),N(K4115)+1,N(K4115))))</f>
        <v>0</v>
      </c>
    </row>
    <row r="4117" customFormat="false" ht="15" hidden="false" customHeight="false" outlineLevel="0" collapsed="false">
      <c r="K4117" s="24" t="n">
        <f aca="false">IF(Search!$B$3="",0,IF($A4117="",N(K4116),IF(ISNUMBER(SEARCH(Search!$B$3,$A4117&amp;"")),N(K4116)+1,N(K4116))))</f>
        <v>0</v>
      </c>
    </row>
    <row r="4118" customFormat="false" ht="15" hidden="false" customHeight="false" outlineLevel="0" collapsed="false">
      <c r="K4118" s="24" t="n">
        <f aca="false">IF(Search!$B$3="",0,IF($A4118="",N(K4117),IF(ISNUMBER(SEARCH(Search!$B$3,$A4118&amp;"")),N(K4117)+1,N(K4117))))</f>
        <v>0</v>
      </c>
    </row>
    <row r="4119" customFormat="false" ht="15" hidden="false" customHeight="false" outlineLevel="0" collapsed="false">
      <c r="K4119" s="24" t="n">
        <f aca="false">IF(Search!$B$3="",0,IF($A4119="",N(K4118),IF(ISNUMBER(SEARCH(Search!$B$3,$A4119&amp;"")),N(K4118)+1,N(K4118))))</f>
        <v>0</v>
      </c>
    </row>
    <row r="4120" customFormat="false" ht="15" hidden="false" customHeight="false" outlineLevel="0" collapsed="false">
      <c r="K4120" s="24" t="n">
        <f aca="false">IF(Search!$B$3="",0,IF($A4120="",N(K4119),IF(ISNUMBER(SEARCH(Search!$B$3,$A4120&amp;"")),N(K4119)+1,N(K4119))))</f>
        <v>0</v>
      </c>
    </row>
    <row r="4121" customFormat="false" ht="15" hidden="false" customHeight="false" outlineLevel="0" collapsed="false">
      <c r="K4121" s="24" t="n">
        <f aca="false">IF(Search!$B$3="",0,IF($A4121="",N(K4120),IF(ISNUMBER(SEARCH(Search!$B$3,$A4121&amp;"")),N(K4120)+1,N(K4120))))</f>
        <v>0</v>
      </c>
    </row>
    <row r="4122" customFormat="false" ht="15" hidden="false" customHeight="false" outlineLevel="0" collapsed="false">
      <c r="K4122" s="24" t="n">
        <f aca="false">IF(Search!$B$3="",0,IF($A4122="",N(K4121),IF(ISNUMBER(SEARCH(Search!$B$3,$A4122&amp;"")),N(K4121)+1,N(K4121))))</f>
        <v>0</v>
      </c>
    </row>
    <row r="4123" customFormat="false" ht="15" hidden="false" customHeight="false" outlineLevel="0" collapsed="false">
      <c r="K4123" s="24" t="n">
        <f aca="false">IF(Search!$B$3="",0,IF($A4123="",N(K4122),IF(ISNUMBER(SEARCH(Search!$B$3,$A4123&amp;"")),N(K4122)+1,N(K4122))))</f>
        <v>0</v>
      </c>
    </row>
    <row r="4124" customFormat="false" ht="15" hidden="false" customHeight="false" outlineLevel="0" collapsed="false">
      <c r="K4124" s="24" t="n">
        <f aca="false">IF(Search!$B$3="",0,IF($A4124="",N(K4123),IF(ISNUMBER(SEARCH(Search!$B$3,$A4124&amp;"")),N(K4123)+1,N(K4123))))</f>
        <v>0</v>
      </c>
    </row>
    <row r="4125" customFormat="false" ht="15" hidden="false" customHeight="false" outlineLevel="0" collapsed="false">
      <c r="K4125" s="24" t="n">
        <f aca="false">IF(Search!$B$3="",0,IF($A4125="",N(K4124),IF(ISNUMBER(SEARCH(Search!$B$3,$A4125&amp;"")),N(K4124)+1,N(K4124))))</f>
        <v>0</v>
      </c>
    </row>
    <row r="4126" customFormat="false" ht="15" hidden="false" customHeight="false" outlineLevel="0" collapsed="false">
      <c r="K4126" s="24" t="n">
        <f aca="false">IF(Search!$B$3="",0,IF($A4126="",N(K4125),IF(ISNUMBER(SEARCH(Search!$B$3,$A4126&amp;"")),N(K4125)+1,N(K4125))))</f>
        <v>0</v>
      </c>
    </row>
    <row r="4127" customFormat="false" ht="15" hidden="false" customHeight="false" outlineLevel="0" collapsed="false">
      <c r="K4127" s="24" t="n">
        <f aca="false">IF(Search!$B$3="",0,IF($A4127="",N(K4126),IF(ISNUMBER(SEARCH(Search!$B$3,$A4127&amp;"")),N(K4126)+1,N(K4126))))</f>
        <v>0</v>
      </c>
    </row>
    <row r="4128" customFormat="false" ht="15" hidden="false" customHeight="false" outlineLevel="0" collapsed="false">
      <c r="K4128" s="24" t="n">
        <f aca="false">IF(Search!$B$3="",0,IF($A4128="",N(K4127),IF(ISNUMBER(SEARCH(Search!$B$3,$A4128&amp;"")),N(K4127)+1,N(K4127))))</f>
        <v>0</v>
      </c>
    </row>
    <row r="4129" customFormat="false" ht="15" hidden="false" customHeight="false" outlineLevel="0" collapsed="false">
      <c r="K4129" s="24" t="n">
        <f aca="false">IF(Search!$B$3="",0,IF($A4129="",N(K4128),IF(ISNUMBER(SEARCH(Search!$B$3,$A4129&amp;"")),N(K4128)+1,N(K4128))))</f>
        <v>0</v>
      </c>
    </row>
    <row r="4130" customFormat="false" ht="15" hidden="false" customHeight="false" outlineLevel="0" collapsed="false">
      <c r="K4130" s="24" t="n">
        <f aca="false">IF(Search!$B$3="",0,IF($A4130="",N(K4129),IF(ISNUMBER(SEARCH(Search!$B$3,$A4130&amp;"")),N(K4129)+1,N(K4129))))</f>
        <v>0</v>
      </c>
    </row>
    <row r="4131" customFormat="false" ht="15" hidden="false" customHeight="false" outlineLevel="0" collapsed="false">
      <c r="K4131" s="24" t="n">
        <f aca="false">IF(Search!$B$3="",0,IF($A4131="",N(K4130),IF(ISNUMBER(SEARCH(Search!$B$3,$A4131&amp;"")),N(K4130)+1,N(K4130))))</f>
        <v>0</v>
      </c>
    </row>
    <row r="4132" customFormat="false" ht="15" hidden="false" customHeight="false" outlineLevel="0" collapsed="false">
      <c r="K4132" s="24" t="n">
        <f aca="false">IF(Search!$B$3="",0,IF($A4132="",N(K4131),IF(ISNUMBER(SEARCH(Search!$B$3,$A4132&amp;"")),N(K4131)+1,N(K4131))))</f>
        <v>0</v>
      </c>
    </row>
    <row r="4133" customFormat="false" ht="15" hidden="false" customHeight="false" outlineLevel="0" collapsed="false">
      <c r="K4133" s="24" t="n">
        <f aca="false">IF(Search!$B$3="",0,IF($A4133="",N(K4132),IF(ISNUMBER(SEARCH(Search!$B$3,$A4133&amp;"")),N(K4132)+1,N(K4132))))</f>
        <v>0</v>
      </c>
    </row>
    <row r="4134" customFormat="false" ht="15" hidden="false" customHeight="false" outlineLevel="0" collapsed="false">
      <c r="K4134" s="24" t="n">
        <f aca="false">IF(Search!$B$3="",0,IF($A4134="",N(K4133),IF(ISNUMBER(SEARCH(Search!$B$3,$A4134&amp;"")),N(K4133)+1,N(K4133))))</f>
        <v>0</v>
      </c>
    </row>
    <row r="4135" customFormat="false" ht="15" hidden="false" customHeight="false" outlineLevel="0" collapsed="false">
      <c r="K4135" s="24" t="n">
        <f aca="false">IF(Search!$B$3="",0,IF($A4135="",N(K4134),IF(ISNUMBER(SEARCH(Search!$B$3,$A4135&amp;"")),N(K4134)+1,N(K4134))))</f>
        <v>0</v>
      </c>
    </row>
    <row r="4136" customFormat="false" ht="15" hidden="false" customHeight="false" outlineLevel="0" collapsed="false">
      <c r="K4136" s="24" t="n">
        <f aca="false">IF(Search!$B$3="",0,IF($A4136="",N(K4135),IF(ISNUMBER(SEARCH(Search!$B$3,$A4136&amp;"")),N(K4135)+1,N(K4135))))</f>
        <v>0</v>
      </c>
    </row>
    <row r="4137" customFormat="false" ht="15" hidden="false" customHeight="false" outlineLevel="0" collapsed="false">
      <c r="K4137" s="24" t="n">
        <f aca="false">IF(Search!$B$3="",0,IF($A4137="",N(K4136),IF(ISNUMBER(SEARCH(Search!$B$3,$A4137&amp;"")),N(K4136)+1,N(K4136))))</f>
        <v>0</v>
      </c>
    </row>
    <row r="4138" customFormat="false" ht="15" hidden="false" customHeight="false" outlineLevel="0" collapsed="false">
      <c r="K4138" s="24" t="n">
        <f aca="false">IF(Search!$B$3="",0,IF($A4138="",N(K4137),IF(ISNUMBER(SEARCH(Search!$B$3,$A4138&amp;"")),N(K4137)+1,N(K4137))))</f>
        <v>0</v>
      </c>
    </row>
    <row r="4139" customFormat="false" ht="15" hidden="false" customHeight="false" outlineLevel="0" collapsed="false">
      <c r="K4139" s="24" t="n">
        <f aca="false">IF(Search!$B$3="",0,IF($A4139="",N(K4138),IF(ISNUMBER(SEARCH(Search!$B$3,$A4139&amp;"")),N(K4138)+1,N(K4138))))</f>
        <v>0</v>
      </c>
    </row>
    <row r="4140" customFormat="false" ht="15" hidden="false" customHeight="false" outlineLevel="0" collapsed="false">
      <c r="K4140" s="24" t="n">
        <f aca="false">IF(Search!$B$3="",0,IF($A4140="",N(K4139),IF(ISNUMBER(SEARCH(Search!$B$3,$A4140&amp;"")),N(K4139)+1,N(K4139))))</f>
        <v>0</v>
      </c>
    </row>
    <row r="4141" customFormat="false" ht="15" hidden="false" customHeight="false" outlineLevel="0" collapsed="false">
      <c r="K4141" s="24" t="n">
        <f aca="false">IF(Search!$B$3="",0,IF($A4141="",N(K4140),IF(ISNUMBER(SEARCH(Search!$B$3,$A4141&amp;"")),N(K4140)+1,N(K4140))))</f>
        <v>0</v>
      </c>
    </row>
    <row r="4142" customFormat="false" ht="15" hidden="false" customHeight="false" outlineLevel="0" collapsed="false">
      <c r="K4142" s="24" t="n">
        <f aca="false">IF(Search!$B$3="",0,IF($A4142="",N(K4141),IF(ISNUMBER(SEARCH(Search!$B$3,$A4142&amp;"")),N(K4141)+1,N(K4141))))</f>
        <v>0</v>
      </c>
    </row>
    <row r="4143" customFormat="false" ht="15" hidden="false" customHeight="false" outlineLevel="0" collapsed="false">
      <c r="K4143" s="24" t="n">
        <f aca="false">IF(Search!$B$3="",0,IF($A4143="",N(K4142),IF(ISNUMBER(SEARCH(Search!$B$3,$A4143&amp;"")),N(K4142)+1,N(K4142))))</f>
        <v>0</v>
      </c>
    </row>
    <row r="4144" customFormat="false" ht="15" hidden="false" customHeight="false" outlineLevel="0" collapsed="false">
      <c r="K4144" s="24" t="n">
        <f aca="false">IF(Search!$B$3="",0,IF($A4144="",N(K4143),IF(ISNUMBER(SEARCH(Search!$B$3,$A4144&amp;"")),N(K4143)+1,N(K4143))))</f>
        <v>0</v>
      </c>
    </row>
    <row r="4145" customFormat="false" ht="15" hidden="false" customHeight="false" outlineLevel="0" collapsed="false">
      <c r="K4145" s="24" t="n">
        <f aca="false">IF(Search!$B$3="",0,IF($A4145="",N(K4144),IF(ISNUMBER(SEARCH(Search!$B$3,$A4145&amp;"")),N(K4144)+1,N(K4144))))</f>
        <v>0</v>
      </c>
    </row>
    <row r="4146" customFormat="false" ht="15" hidden="false" customHeight="false" outlineLevel="0" collapsed="false">
      <c r="K4146" s="24" t="n">
        <f aca="false">IF(Search!$B$3="",0,IF($A4146="",N(K4145),IF(ISNUMBER(SEARCH(Search!$B$3,$A4146&amp;"")),N(K4145)+1,N(K4145))))</f>
        <v>0</v>
      </c>
    </row>
    <row r="4147" customFormat="false" ht="15" hidden="false" customHeight="false" outlineLevel="0" collapsed="false">
      <c r="K4147" s="24" t="n">
        <f aca="false">IF(Search!$B$3="",0,IF($A4147="",N(K4146),IF(ISNUMBER(SEARCH(Search!$B$3,$A4147&amp;"")),N(K4146)+1,N(K4146))))</f>
        <v>0</v>
      </c>
    </row>
    <row r="4148" customFormat="false" ht="15" hidden="false" customHeight="false" outlineLevel="0" collapsed="false">
      <c r="K4148" s="24" t="n">
        <f aca="false">IF(Search!$B$3="",0,IF($A4148="",N(K4147),IF(ISNUMBER(SEARCH(Search!$B$3,$A4148&amp;"")),N(K4147)+1,N(K4147))))</f>
        <v>0</v>
      </c>
    </row>
    <row r="4149" customFormat="false" ht="15" hidden="false" customHeight="false" outlineLevel="0" collapsed="false">
      <c r="K4149" s="24" t="n">
        <f aca="false">IF(Search!$B$3="",0,IF($A4149="",N(K4148),IF(ISNUMBER(SEARCH(Search!$B$3,$A4149&amp;"")),N(K4148)+1,N(K4148))))</f>
        <v>0</v>
      </c>
    </row>
    <row r="4150" customFormat="false" ht="15" hidden="false" customHeight="false" outlineLevel="0" collapsed="false">
      <c r="K4150" s="24" t="n">
        <f aca="false">IF(Search!$B$3="",0,IF($A4150="",N(K4149),IF(ISNUMBER(SEARCH(Search!$B$3,$A4150&amp;"")),N(K4149)+1,N(K4149))))</f>
        <v>0</v>
      </c>
    </row>
    <row r="4151" customFormat="false" ht="15" hidden="false" customHeight="false" outlineLevel="0" collapsed="false">
      <c r="K4151" s="24" t="n">
        <f aca="false">IF(Search!$B$3="",0,IF($A4151="",N(K4150),IF(ISNUMBER(SEARCH(Search!$B$3,$A4151&amp;"")),N(K4150)+1,N(K4150))))</f>
        <v>0</v>
      </c>
    </row>
    <row r="4152" customFormat="false" ht="15" hidden="false" customHeight="false" outlineLevel="0" collapsed="false">
      <c r="K4152" s="24" t="n">
        <f aca="false">IF(Search!$B$3="",0,IF($A4152="",N(K4151),IF(ISNUMBER(SEARCH(Search!$B$3,$A4152&amp;"")),N(K4151)+1,N(K4151))))</f>
        <v>0</v>
      </c>
    </row>
    <row r="4153" customFormat="false" ht="15" hidden="false" customHeight="false" outlineLevel="0" collapsed="false">
      <c r="K4153" s="24" t="n">
        <f aca="false">IF(Search!$B$3="",0,IF($A4153="",N(K4152),IF(ISNUMBER(SEARCH(Search!$B$3,$A4153&amp;"")),N(K4152)+1,N(K4152))))</f>
        <v>0</v>
      </c>
    </row>
    <row r="4154" customFormat="false" ht="15" hidden="false" customHeight="false" outlineLevel="0" collapsed="false">
      <c r="K4154" s="24" t="n">
        <f aca="false">IF(Search!$B$3="",0,IF($A4154="",N(K4153),IF(ISNUMBER(SEARCH(Search!$B$3,$A4154&amp;"")),N(K4153)+1,N(K4153))))</f>
        <v>0</v>
      </c>
    </row>
    <row r="4155" customFormat="false" ht="15" hidden="false" customHeight="false" outlineLevel="0" collapsed="false">
      <c r="K4155" s="24" t="n">
        <f aca="false">IF(Search!$B$3="",0,IF($A4155="",N(K4154),IF(ISNUMBER(SEARCH(Search!$B$3,$A4155&amp;"")),N(K4154)+1,N(K4154))))</f>
        <v>0</v>
      </c>
    </row>
    <row r="4156" customFormat="false" ht="15" hidden="false" customHeight="false" outlineLevel="0" collapsed="false">
      <c r="K4156" s="24" t="n">
        <f aca="false">IF(Search!$B$3="",0,IF($A4156="",N(K4155),IF(ISNUMBER(SEARCH(Search!$B$3,$A4156&amp;"")),N(K4155)+1,N(K4155))))</f>
        <v>0</v>
      </c>
    </row>
    <row r="4157" customFormat="false" ht="15" hidden="false" customHeight="false" outlineLevel="0" collapsed="false">
      <c r="K4157" s="24" t="n">
        <f aca="false">IF(Search!$B$3="",0,IF($A4157="",N(K4156),IF(ISNUMBER(SEARCH(Search!$B$3,$A4157&amp;"")),N(K4156)+1,N(K4156))))</f>
        <v>0</v>
      </c>
    </row>
    <row r="4158" customFormat="false" ht="15" hidden="false" customHeight="false" outlineLevel="0" collapsed="false">
      <c r="K4158" s="24" t="n">
        <f aca="false">IF(Search!$B$3="",0,IF($A4158="",N(K4157),IF(ISNUMBER(SEARCH(Search!$B$3,$A4158&amp;"")),N(K4157)+1,N(K4157))))</f>
        <v>0</v>
      </c>
    </row>
    <row r="4159" customFormat="false" ht="15" hidden="false" customHeight="false" outlineLevel="0" collapsed="false">
      <c r="K4159" s="24" t="n">
        <f aca="false">IF(Search!$B$3="",0,IF($A4159="",N(K4158),IF(ISNUMBER(SEARCH(Search!$B$3,$A4159&amp;"")),N(K4158)+1,N(K4158))))</f>
        <v>0</v>
      </c>
    </row>
    <row r="4160" customFormat="false" ht="15" hidden="false" customHeight="false" outlineLevel="0" collapsed="false">
      <c r="K4160" s="24" t="n">
        <f aca="false">IF(Search!$B$3="",0,IF($A4160="",N(K4159),IF(ISNUMBER(SEARCH(Search!$B$3,$A4160&amp;"")),N(K4159)+1,N(K4159))))</f>
        <v>0</v>
      </c>
    </row>
    <row r="4161" customFormat="false" ht="15" hidden="false" customHeight="false" outlineLevel="0" collapsed="false">
      <c r="K4161" s="24" t="n">
        <f aca="false">IF(Search!$B$3="",0,IF($A4161="",N(K4160),IF(ISNUMBER(SEARCH(Search!$B$3,$A4161&amp;"")),N(K4160)+1,N(K4160))))</f>
        <v>0</v>
      </c>
    </row>
    <row r="4162" customFormat="false" ht="15" hidden="false" customHeight="false" outlineLevel="0" collapsed="false">
      <c r="K4162" s="24" t="n">
        <f aca="false">IF(Search!$B$3="",0,IF($A4162="",N(K4161),IF(ISNUMBER(SEARCH(Search!$B$3,$A4162&amp;"")),N(K4161)+1,N(K4161))))</f>
        <v>0</v>
      </c>
    </row>
    <row r="4163" customFormat="false" ht="15" hidden="false" customHeight="false" outlineLevel="0" collapsed="false">
      <c r="K4163" s="24" t="n">
        <f aca="false">IF(Search!$B$3="",0,IF($A4163="",N(K4162),IF(ISNUMBER(SEARCH(Search!$B$3,$A4163&amp;"")),N(K4162)+1,N(K4162))))</f>
        <v>0</v>
      </c>
    </row>
    <row r="4164" customFormat="false" ht="15" hidden="false" customHeight="false" outlineLevel="0" collapsed="false">
      <c r="K4164" s="24" t="n">
        <f aca="false">IF(Search!$B$3="",0,IF($A4164="",N(K4163),IF(ISNUMBER(SEARCH(Search!$B$3,$A4164&amp;"")),N(K4163)+1,N(K4163))))</f>
        <v>0</v>
      </c>
    </row>
    <row r="4165" customFormat="false" ht="15" hidden="false" customHeight="false" outlineLevel="0" collapsed="false">
      <c r="K4165" s="24" t="n">
        <f aca="false">IF(Search!$B$3="",0,IF($A4165="",N(K4164),IF(ISNUMBER(SEARCH(Search!$B$3,$A4165&amp;"")),N(K4164)+1,N(K4164))))</f>
        <v>0</v>
      </c>
    </row>
    <row r="4166" customFormat="false" ht="15" hidden="false" customHeight="false" outlineLevel="0" collapsed="false">
      <c r="K4166" s="24" t="n">
        <f aca="false">IF(Search!$B$3="",0,IF($A4166="",N(K4165),IF(ISNUMBER(SEARCH(Search!$B$3,$A4166&amp;"")),N(K4165)+1,N(K4165))))</f>
        <v>0</v>
      </c>
    </row>
    <row r="4167" customFormat="false" ht="15" hidden="false" customHeight="false" outlineLevel="0" collapsed="false">
      <c r="K4167" s="24" t="n">
        <f aca="false">IF(Search!$B$3="",0,IF($A4167="",N(K4166),IF(ISNUMBER(SEARCH(Search!$B$3,$A4167&amp;"")),N(K4166)+1,N(K4166))))</f>
        <v>0</v>
      </c>
    </row>
    <row r="4168" customFormat="false" ht="15" hidden="false" customHeight="false" outlineLevel="0" collapsed="false">
      <c r="K4168" s="24" t="n">
        <f aca="false">IF(Search!$B$3="",0,IF($A4168="",N(K4167),IF(ISNUMBER(SEARCH(Search!$B$3,$A4168&amp;"")),N(K4167)+1,N(K4167))))</f>
        <v>0</v>
      </c>
    </row>
    <row r="4169" customFormat="false" ht="15" hidden="false" customHeight="false" outlineLevel="0" collapsed="false">
      <c r="K4169" s="24" t="n">
        <f aca="false">IF(Search!$B$3="",0,IF($A4169="",N(K4168),IF(ISNUMBER(SEARCH(Search!$B$3,$A4169&amp;"")),N(K4168)+1,N(K4168))))</f>
        <v>0</v>
      </c>
    </row>
    <row r="4170" customFormat="false" ht="15" hidden="false" customHeight="false" outlineLevel="0" collapsed="false">
      <c r="K4170" s="24" t="n">
        <f aca="false">IF(Search!$B$3="",0,IF($A4170="",N(K4169),IF(ISNUMBER(SEARCH(Search!$B$3,$A4170&amp;"")),N(K4169)+1,N(K4169))))</f>
        <v>0</v>
      </c>
    </row>
    <row r="4171" customFormat="false" ht="15" hidden="false" customHeight="false" outlineLevel="0" collapsed="false">
      <c r="K4171" s="24" t="n">
        <f aca="false">IF(Search!$B$3="",0,IF($A4171="",N(K4170),IF(ISNUMBER(SEARCH(Search!$B$3,$A4171&amp;"")),N(K4170)+1,N(K4170))))</f>
        <v>0</v>
      </c>
    </row>
    <row r="4172" customFormat="false" ht="15" hidden="false" customHeight="false" outlineLevel="0" collapsed="false">
      <c r="K4172" s="24" t="n">
        <f aca="false">IF(Search!$B$3="",0,IF($A4172="",N(K4171),IF(ISNUMBER(SEARCH(Search!$B$3,$A4172&amp;"")),N(K4171)+1,N(K4171))))</f>
        <v>0</v>
      </c>
    </row>
    <row r="4173" customFormat="false" ht="15" hidden="false" customHeight="false" outlineLevel="0" collapsed="false">
      <c r="K4173" s="24" t="n">
        <f aca="false">IF(Search!$B$3="",0,IF($A4173="",N(K4172),IF(ISNUMBER(SEARCH(Search!$B$3,$A4173&amp;"")),N(K4172)+1,N(K4172))))</f>
        <v>0</v>
      </c>
    </row>
    <row r="4174" customFormat="false" ht="15" hidden="false" customHeight="false" outlineLevel="0" collapsed="false">
      <c r="K4174" s="24" t="n">
        <f aca="false">IF(Search!$B$3="",0,IF($A4174="",N(K4173),IF(ISNUMBER(SEARCH(Search!$B$3,$A4174&amp;"")),N(K4173)+1,N(K4173))))</f>
        <v>0</v>
      </c>
    </row>
    <row r="4175" customFormat="false" ht="15" hidden="false" customHeight="false" outlineLevel="0" collapsed="false">
      <c r="K4175" s="24" t="n">
        <f aca="false">IF(Search!$B$3="",0,IF($A4175="",N(K4174),IF(ISNUMBER(SEARCH(Search!$B$3,$A4175&amp;"")),N(K4174)+1,N(K4174))))</f>
        <v>0</v>
      </c>
    </row>
    <row r="4176" customFormat="false" ht="15" hidden="false" customHeight="false" outlineLevel="0" collapsed="false">
      <c r="K4176" s="24" t="n">
        <f aca="false">IF(Search!$B$3="",0,IF($A4176="",N(K4175),IF(ISNUMBER(SEARCH(Search!$B$3,$A4176&amp;"")),N(K4175)+1,N(K4175))))</f>
        <v>0</v>
      </c>
    </row>
    <row r="4177" customFormat="false" ht="15" hidden="false" customHeight="false" outlineLevel="0" collapsed="false">
      <c r="K4177" s="24" t="n">
        <f aca="false">IF(Search!$B$3="",0,IF($A4177="",N(K4176),IF(ISNUMBER(SEARCH(Search!$B$3,$A4177&amp;"")),N(K4176)+1,N(K4176))))</f>
        <v>0</v>
      </c>
    </row>
    <row r="4178" customFormat="false" ht="15" hidden="false" customHeight="false" outlineLevel="0" collapsed="false">
      <c r="K4178" s="24" t="n">
        <f aca="false">IF(Search!$B$3="",0,IF($A4178="",N(K4177),IF(ISNUMBER(SEARCH(Search!$B$3,$A4178&amp;"")),N(K4177)+1,N(K4177))))</f>
        <v>0</v>
      </c>
    </row>
    <row r="4179" customFormat="false" ht="15" hidden="false" customHeight="false" outlineLevel="0" collapsed="false">
      <c r="K4179" s="24" t="n">
        <f aca="false">IF(Search!$B$3="",0,IF($A4179="",N(K4178),IF(ISNUMBER(SEARCH(Search!$B$3,$A4179&amp;"")),N(K4178)+1,N(K4178))))</f>
        <v>0</v>
      </c>
    </row>
    <row r="4180" customFormat="false" ht="15" hidden="false" customHeight="false" outlineLevel="0" collapsed="false">
      <c r="K4180" s="24" t="n">
        <f aca="false">IF(Search!$B$3="",0,IF($A4180="",N(K4179),IF(ISNUMBER(SEARCH(Search!$B$3,$A4180&amp;"")),N(K4179)+1,N(K4179))))</f>
        <v>0</v>
      </c>
    </row>
    <row r="4181" customFormat="false" ht="15" hidden="false" customHeight="false" outlineLevel="0" collapsed="false">
      <c r="K4181" s="24" t="n">
        <f aca="false">IF(Search!$B$3="",0,IF($A4181="",N(K4180),IF(ISNUMBER(SEARCH(Search!$B$3,$A4181&amp;"")),N(K4180)+1,N(K4180))))</f>
        <v>0</v>
      </c>
    </row>
    <row r="4182" customFormat="false" ht="15" hidden="false" customHeight="false" outlineLevel="0" collapsed="false">
      <c r="K4182" s="24" t="n">
        <f aca="false">IF(Search!$B$3="",0,IF($A4182="",N(K4181),IF(ISNUMBER(SEARCH(Search!$B$3,$A4182&amp;"")),N(K4181)+1,N(K4181))))</f>
        <v>0</v>
      </c>
    </row>
    <row r="4183" customFormat="false" ht="15" hidden="false" customHeight="false" outlineLevel="0" collapsed="false">
      <c r="K4183" s="24" t="n">
        <f aca="false">IF(Search!$B$3="",0,IF($A4183="",N(K4182),IF(ISNUMBER(SEARCH(Search!$B$3,$A4183&amp;"")),N(K4182)+1,N(K4182))))</f>
        <v>0</v>
      </c>
    </row>
    <row r="4184" customFormat="false" ht="15" hidden="false" customHeight="false" outlineLevel="0" collapsed="false">
      <c r="K4184" s="24" t="n">
        <f aca="false">IF(Search!$B$3="",0,IF($A4184="",N(K4183),IF(ISNUMBER(SEARCH(Search!$B$3,$A4184&amp;"")),N(K4183)+1,N(K4183))))</f>
        <v>0</v>
      </c>
    </row>
    <row r="4185" customFormat="false" ht="15" hidden="false" customHeight="false" outlineLevel="0" collapsed="false">
      <c r="K4185" s="24" t="n">
        <f aca="false">IF(Search!$B$3="",0,IF($A4185="",N(K4184),IF(ISNUMBER(SEARCH(Search!$B$3,$A4185&amp;"")),N(K4184)+1,N(K4184))))</f>
        <v>0</v>
      </c>
    </row>
    <row r="4186" customFormat="false" ht="15" hidden="false" customHeight="false" outlineLevel="0" collapsed="false">
      <c r="K4186" s="24" t="n">
        <f aca="false">IF(Search!$B$3="",0,IF($A4186="",N(K4185),IF(ISNUMBER(SEARCH(Search!$B$3,$A4186&amp;"")),N(K4185)+1,N(K4185))))</f>
        <v>0</v>
      </c>
    </row>
    <row r="4187" customFormat="false" ht="15" hidden="false" customHeight="false" outlineLevel="0" collapsed="false">
      <c r="K4187" s="24" t="n">
        <f aca="false">IF(Search!$B$3="",0,IF($A4187="",N(K4186),IF(ISNUMBER(SEARCH(Search!$B$3,$A4187&amp;"")),N(K4186)+1,N(K4186))))</f>
        <v>0</v>
      </c>
    </row>
    <row r="4188" customFormat="false" ht="15" hidden="false" customHeight="false" outlineLevel="0" collapsed="false">
      <c r="K4188" s="24" t="n">
        <f aca="false">IF(Search!$B$3="",0,IF($A4188="",N(K4187),IF(ISNUMBER(SEARCH(Search!$B$3,$A4188&amp;"")),N(K4187)+1,N(K4187))))</f>
        <v>0</v>
      </c>
    </row>
    <row r="4189" customFormat="false" ht="15" hidden="false" customHeight="false" outlineLevel="0" collapsed="false">
      <c r="K4189" s="24" t="n">
        <f aca="false">IF(Search!$B$3="",0,IF($A4189="",N(K4188),IF(ISNUMBER(SEARCH(Search!$B$3,$A4189&amp;"")),N(K4188)+1,N(K4188))))</f>
        <v>0</v>
      </c>
    </row>
    <row r="4190" customFormat="false" ht="15" hidden="false" customHeight="false" outlineLevel="0" collapsed="false">
      <c r="K4190" s="24" t="n">
        <f aca="false">IF(Search!$B$3="",0,IF($A4190="",N(K4189),IF(ISNUMBER(SEARCH(Search!$B$3,$A4190&amp;"")),N(K4189)+1,N(K4189))))</f>
        <v>0</v>
      </c>
    </row>
    <row r="4191" customFormat="false" ht="15" hidden="false" customHeight="false" outlineLevel="0" collapsed="false">
      <c r="K4191" s="24" t="n">
        <f aca="false">IF(Search!$B$3="",0,IF($A4191="",N(K4190),IF(ISNUMBER(SEARCH(Search!$B$3,$A4191&amp;"")),N(K4190)+1,N(K4190))))</f>
        <v>0</v>
      </c>
    </row>
    <row r="4192" customFormat="false" ht="15" hidden="false" customHeight="false" outlineLevel="0" collapsed="false">
      <c r="K4192" s="24" t="n">
        <f aca="false">IF(Search!$B$3="",0,IF($A4192="",N(K4191),IF(ISNUMBER(SEARCH(Search!$B$3,$A4192&amp;"")),N(K4191)+1,N(K4191))))</f>
        <v>0</v>
      </c>
    </row>
    <row r="4193" customFormat="false" ht="15" hidden="false" customHeight="false" outlineLevel="0" collapsed="false">
      <c r="K4193" s="24" t="n">
        <f aca="false">IF(Search!$B$3="",0,IF($A4193="",N(K4192),IF(ISNUMBER(SEARCH(Search!$B$3,$A4193&amp;"")),N(K4192)+1,N(K4192))))</f>
        <v>0</v>
      </c>
    </row>
    <row r="4194" customFormat="false" ht="15" hidden="false" customHeight="false" outlineLevel="0" collapsed="false">
      <c r="K4194" s="24" t="n">
        <f aca="false">IF(Search!$B$3="",0,IF($A4194="",N(K4193),IF(ISNUMBER(SEARCH(Search!$B$3,$A4194&amp;"")),N(K4193)+1,N(K4193))))</f>
        <v>0</v>
      </c>
    </row>
    <row r="4195" customFormat="false" ht="15" hidden="false" customHeight="false" outlineLevel="0" collapsed="false">
      <c r="K4195" s="24" t="n">
        <f aca="false">IF(Search!$B$3="",0,IF($A4195="",N(K4194),IF(ISNUMBER(SEARCH(Search!$B$3,$A4195&amp;"")),N(K4194)+1,N(K4194))))</f>
        <v>0</v>
      </c>
    </row>
    <row r="4196" customFormat="false" ht="15" hidden="false" customHeight="false" outlineLevel="0" collapsed="false">
      <c r="K4196" s="24" t="n">
        <f aca="false">IF(Search!$B$3="",0,IF($A4196="",N(K4195),IF(ISNUMBER(SEARCH(Search!$B$3,$A4196&amp;"")),N(K4195)+1,N(K4195))))</f>
        <v>0</v>
      </c>
    </row>
    <row r="4197" customFormat="false" ht="15" hidden="false" customHeight="false" outlineLevel="0" collapsed="false">
      <c r="K4197" s="24" t="n">
        <f aca="false">IF(Search!$B$3="",0,IF($A4197="",N(K4196),IF(ISNUMBER(SEARCH(Search!$B$3,$A4197&amp;"")),N(K4196)+1,N(K4196))))</f>
        <v>0</v>
      </c>
    </row>
    <row r="4198" customFormat="false" ht="15" hidden="false" customHeight="false" outlineLevel="0" collapsed="false">
      <c r="K4198" s="24" t="n">
        <f aca="false">IF(Search!$B$3="",0,IF($A4198="",N(K4197),IF(ISNUMBER(SEARCH(Search!$B$3,$A4198&amp;"")),N(K4197)+1,N(K4197))))</f>
        <v>0</v>
      </c>
    </row>
    <row r="4199" customFormat="false" ht="15" hidden="false" customHeight="false" outlineLevel="0" collapsed="false">
      <c r="K4199" s="24" t="n">
        <f aca="false">IF(Search!$B$3="",0,IF($A4199="",N(K4198),IF(ISNUMBER(SEARCH(Search!$B$3,$A4199&amp;"")),N(K4198)+1,N(K4198))))</f>
        <v>0</v>
      </c>
    </row>
    <row r="4200" customFormat="false" ht="15" hidden="false" customHeight="false" outlineLevel="0" collapsed="false">
      <c r="K4200" s="24" t="n">
        <f aca="false">IF(Search!$B$3="",0,IF($A4200="",N(K4199),IF(ISNUMBER(SEARCH(Search!$B$3,$A4200&amp;"")),N(K4199)+1,N(K4199))))</f>
        <v>0</v>
      </c>
    </row>
    <row r="4201" customFormat="false" ht="15" hidden="false" customHeight="false" outlineLevel="0" collapsed="false">
      <c r="K4201" s="24" t="n">
        <f aca="false">IF(Search!$B$3="",0,IF($A4201="",N(K4200),IF(ISNUMBER(SEARCH(Search!$B$3,$A4201&amp;"")),N(K4200)+1,N(K4200))))</f>
        <v>0</v>
      </c>
    </row>
    <row r="4202" customFormat="false" ht="15" hidden="false" customHeight="false" outlineLevel="0" collapsed="false">
      <c r="K4202" s="24" t="n">
        <f aca="false">IF(Search!$B$3="",0,IF($A4202="",N(K4201),IF(ISNUMBER(SEARCH(Search!$B$3,$A4202&amp;"")),N(K4201)+1,N(K4201))))</f>
        <v>0</v>
      </c>
    </row>
    <row r="4203" customFormat="false" ht="15" hidden="false" customHeight="false" outlineLevel="0" collapsed="false">
      <c r="K4203" s="24" t="n">
        <f aca="false">IF(Search!$B$3="",0,IF($A4203="",N(K4202),IF(ISNUMBER(SEARCH(Search!$B$3,$A4203&amp;"")),N(K4202)+1,N(K4202))))</f>
        <v>0</v>
      </c>
    </row>
    <row r="4204" customFormat="false" ht="15" hidden="false" customHeight="false" outlineLevel="0" collapsed="false">
      <c r="K4204" s="24" t="n">
        <f aca="false">IF(Search!$B$3="",0,IF($A4204="",N(K4203),IF(ISNUMBER(SEARCH(Search!$B$3,$A4204&amp;"")),N(K4203)+1,N(K4203))))</f>
        <v>0</v>
      </c>
    </row>
    <row r="4205" customFormat="false" ht="15" hidden="false" customHeight="false" outlineLevel="0" collapsed="false">
      <c r="K4205" s="24" t="n">
        <f aca="false">IF(Search!$B$3="",0,IF($A4205="",N(K4204),IF(ISNUMBER(SEARCH(Search!$B$3,$A4205&amp;"")),N(K4204)+1,N(K4204))))</f>
        <v>0</v>
      </c>
    </row>
    <row r="4206" customFormat="false" ht="15" hidden="false" customHeight="false" outlineLevel="0" collapsed="false">
      <c r="K4206" s="24" t="n">
        <f aca="false">IF(Search!$B$3="",0,IF($A4206="",N(K4205),IF(ISNUMBER(SEARCH(Search!$B$3,$A4206&amp;"")),N(K4205)+1,N(K4205))))</f>
        <v>0</v>
      </c>
    </row>
    <row r="4207" customFormat="false" ht="15" hidden="false" customHeight="false" outlineLevel="0" collapsed="false">
      <c r="K4207" s="24" t="n">
        <f aca="false">IF(Search!$B$3="",0,IF($A4207="",N(K4206),IF(ISNUMBER(SEARCH(Search!$B$3,$A4207&amp;"")),N(K4206)+1,N(K4206))))</f>
        <v>0</v>
      </c>
    </row>
    <row r="4208" customFormat="false" ht="15" hidden="false" customHeight="false" outlineLevel="0" collapsed="false">
      <c r="K4208" s="24" t="n">
        <f aca="false">IF(Search!$B$3="",0,IF($A4208="",N(K4207),IF(ISNUMBER(SEARCH(Search!$B$3,$A4208&amp;"")),N(K4207)+1,N(K4207))))</f>
        <v>0</v>
      </c>
    </row>
    <row r="4209" customFormat="false" ht="15" hidden="false" customHeight="false" outlineLevel="0" collapsed="false">
      <c r="K4209" s="24" t="n">
        <f aca="false">IF(Search!$B$3="",0,IF($A4209="",N(K4208),IF(ISNUMBER(SEARCH(Search!$B$3,$A4209&amp;"")),N(K4208)+1,N(K4208))))</f>
        <v>0</v>
      </c>
    </row>
    <row r="4210" customFormat="false" ht="15" hidden="false" customHeight="false" outlineLevel="0" collapsed="false">
      <c r="K4210" s="24" t="n">
        <f aca="false">IF(Search!$B$3="",0,IF($A4210="",N(K4209),IF(ISNUMBER(SEARCH(Search!$B$3,$A4210&amp;"")),N(K4209)+1,N(K4209))))</f>
        <v>0</v>
      </c>
    </row>
    <row r="4211" customFormat="false" ht="15" hidden="false" customHeight="false" outlineLevel="0" collapsed="false">
      <c r="K4211" s="24" t="n">
        <f aca="false">IF(Search!$B$3="",0,IF($A4211="",N(K4210),IF(ISNUMBER(SEARCH(Search!$B$3,$A4211&amp;"")),N(K4210)+1,N(K4210))))</f>
        <v>0</v>
      </c>
    </row>
    <row r="4212" customFormat="false" ht="15" hidden="false" customHeight="false" outlineLevel="0" collapsed="false">
      <c r="K4212" s="24" t="n">
        <f aca="false">IF(Search!$B$3="",0,IF($A4212="",N(K4211),IF(ISNUMBER(SEARCH(Search!$B$3,$A4212&amp;"")),N(K4211)+1,N(K4211))))</f>
        <v>0</v>
      </c>
    </row>
    <row r="4213" customFormat="false" ht="15" hidden="false" customHeight="false" outlineLevel="0" collapsed="false">
      <c r="K4213" s="24" t="n">
        <f aca="false">IF(Search!$B$3="",0,IF($A4213="",N(K4212),IF(ISNUMBER(SEARCH(Search!$B$3,$A4213&amp;"")),N(K4212)+1,N(K4212))))</f>
        <v>0</v>
      </c>
    </row>
    <row r="4214" customFormat="false" ht="15" hidden="false" customHeight="false" outlineLevel="0" collapsed="false">
      <c r="K4214" s="24" t="n">
        <f aca="false">IF(Search!$B$3="",0,IF($A4214="",N(K4213),IF(ISNUMBER(SEARCH(Search!$B$3,$A4214&amp;"")),N(K4213)+1,N(K4213))))</f>
        <v>0</v>
      </c>
    </row>
    <row r="4215" customFormat="false" ht="15" hidden="false" customHeight="false" outlineLevel="0" collapsed="false">
      <c r="K4215" s="24" t="n">
        <f aca="false">IF(Search!$B$3="",0,IF($A4215="",N(K4214),IF(ISNUMBER(SEARCH(Search!$B$3,$A4215&amp;"")),N(K4214)+1,N(K4214))))</f>
        <v>0</v>
      </c>
    </row>
    <row r="4216" customFormat="false" ht="15" hidden="false" customHeight="false" outlineLevel="0" collapsed="false">
      <c r="K4216" s="24" t="n">
        <f aca="false">IF(Search!$B$3="",0,IF($A4216="",N(K4215),IF(ISNUMBER(SEARCH(Search!$B$3,$A4216&amp;"")),N(K4215)+1,N(K4215))))</f>
        <v>0</v>
      </c>
    </row>
    <row r="4217" customFormat="false" ht="15" hidden="false" customHeight="false" outlineLevel="0" collapsed="false">
      <c r="K4217" s="24" t="n">
        <f aca="false">IF(Search!$B$3="",0,IF($A4217="",N(K4216),IF(ISNUMBER(SEARCH(Search!$B$3,$A4217&amp;"")),N(K4216)+1,N(K4216))))</f>
        <v>0</v>
      </c>
    </row>
    <row r="4218" customFormat="false" ht="15" hidden="false" customHeight="false" outlineLevel="0" collapsed="false">
      <c r="K4218" s="24" t="n">
        <f aca="false">IF(Search!$B$3="",0,IF($A4218="",N(K4217),IF(ISNUMBER(SEARCH(Search!$B$3,$A4218&amp;"")),N(K4217)+1,N(K4217))))</f>
        <v>0</v>
      </c>
    </row>
    <row r="4219" customFormat="false" ht="15" hidden="false" customHeight="false" outlineLevel="0" collapsed="false">
      <c r="K4219" s="24" t="n">
        <f aca="false">IF(Search!$B$3="",0,IF($A4219="",N(K4218),IF(ISNUMBER(SEARCH(Search!$B$3,$A4219&amp;"")),N(K4218)+1,N(K4218))))</f>
        <v>0</v>
      </c>
    </row>
    <row r="4220" customFormat="false" ht="15" hidden="false" customHeight="false" outlineLevel="0" collapsed="false">
      <c r="K4220" s="24" t="n">
        <f aca="false">IF(Search!$B$3="",0,IF($A4220="",N(K4219),IF(ISNUMBER(SEARCH(Search!$B$3,$A4220&amp;"")),N(K4219)+1,N(K4219))))</f>
        <v>0</v>
      </c>
    </row>
    <row r="4221" customFormat="false" ht="15" hidden="false" customHeight="false" outlineLevel="0" collapsed="false">
      <c r="K4221" s="24" t="n">
        <f aca="false">IF(Search!$B$3="",0,IF($A4221="",N(K4220),IF(ISNUMBER(SEARCH(Search!$B$3,$A4221&amp;"")),N(K4220)+1,N(K4220))))</f>
        <v>0</v>
      </c>
    </row>
    <row r="4222" customFormat="false" ht="15" hidden="false" customHeight="false" outlineLevel="0" collapsed="false">
      <c r="K4222" s="24" t="n">
        <f aca="false">IF(Search!$B$3="",0,IF($A4222="",N(K4221),IF(ISNUMBER(SEARCH(Search!$B$3,$A4222&amp;"")),N(K4221)+1,N(K4221))))</f>
        <v>0</v>
      </c>
    </row>
    <row r="4223" customFormat="false" ht="15" hidden="false" customHeight="false" outlineLevel="0" collapsed="false">
      <c r="K4223" s="24" t="n">
        <f aca="false">IF(Search!$B$3="",0,IF($A4223="",N(K4222),IF(ISNUMBER(SEARCH(Search!$B$3,$A4223&amp;"")),N(K4222)+1,N(K4222))))</f>
        <v>0</v>
      </c>
    </row>
    <row r="4224" customFormat="false" ht="15" hidden="false" customHeight="false" outlineLevel="0" collapsed="false">
      <c r="K4224" s="24" t="n">
        <f aca="false">IF(Search!$B$3="",0,IF($A4224="",N(K4223),IF(ISNUMBER(SEARCH(Search!$B$3,$A4224&amp;"")),N(K4223)+1,N(K4223))))</f>
        <v>0</v>
      </c>
    </row>
    <row r="4225" customFormat="false" ht="15" hidden="false" customHeight="false" outlineLevel="0" collapsed="false">
      <c r="K4225" s="24" t="n">
        <f aca="false">IF(Search!$B$3="",0,IF($A4225="",N(K4224),IF(ISNUMBER(SEARCH(Search!$B$3,$A4225&amp;"")),N(K4224)+1,N(K4224))))</f>
        <v>0</v>
      </c>
    </row>
    <row r="4226" customFormat="false" ht="15" hidden="false" customHeight="false" outlineLevel="0" collapsed="false">
      <c r="K4226" s="24" t="n">
        <f aca="false">IF(Search!$B$3="",0,IF($A4226="",N(K4225),IF(ISNUMBER(SEARCH(Search!$B$3,$A4226&amp;"")),N(K4225)+1,N(K4225))))</f>
        <v>0</v>
      </c>
    </row>
    <row r="4227" customFormat="false" ht="15" hidden="false" customHeight="false" outlineLevel="0" collapsed="false">
      <c r="K4227" s="24" t="n">
        <f aca="false">IF(Search!$B$3="",0,IF($A4227="",N(K4226),IF(ISNUMBER(SEARCH(Search!$B$3,$A4227&amp;"")),N(K4226)+1,N(K4226))))</f>
        <v>0</v>
      </c>
    </row>
    <row r="4228" customFormat="false" ht="15" hidden="false" customHeight="false" outlineLevel="0" collapsed="false">
      <c r="K4228" s="24" t="n">
        <f aca="false">IF(Search!$B$3="",0,IF($A4228="",N(K4227),IF(ISNUMBER(SEARCH(Search!$B$3,$A4228&amp;"")),N(K4227)+1,N(K4227))))</f>
        <v>0</v>
      </c>
    </row>
    <row r="4229" customFormat="false" ht="15" hidden="false" customHeight="false" outlineLevel="0" collapsed="false">
      <c r="K4229" s="24" t="n">
        <f aca="false">IF(Search!$B$3="",0,IF($A4229="",N(K4228),IF(ISNUMBER(SEARCH(Search!$B$3,$A4229&amp;"")),N(K4228)+1,N(K4228))))</f>
        <v>0</v>
      </c>
    </row>
    <row r="4230" customFormat="false" ht="15" hidden="false" customHeight="false" outlineLevel="0" collapsed="false">
      <c r="K4230" s="24" t="n">
        <f aca="false">IF(Search!$B$3="",0,IF($A4230="",N(K4229),IF(ISNUMBER(SEARCH(Search!$B$3,$A4230&amp;"")),N(K4229)+1,N(K4229))))</f>
        <v>0</v>
      </c>
    </row>
    <row r="4231" customFormat="false" ht="15" hidden="false" customHeight="false" outlineLevel="0" collapsed="false">
      <c r="K4231" s="24" t="n">
        <f aca="false">IF(Search!$B$3="",0,IF($A4231="",N(K4230),IF(ISNUMBER(SEARCH(Search!$B$3,$A4231&amp;"")),N(K4230)+1,N(K4230))))</f>
        <v>0</v>
      </c>
    </row>
    <row r="4232" customFormat="false" ht="15" hidden="false" customHeight="false" outlineLevel="0" collapsed="false">
      <c r="K4232" s="24" t="n">
        <f aca="false">IF(Search!$B$3="",0,IF($A4232="",N(K4231),IF(ISNUMBER(SEARCH(Search!$B$3,$A4232&amp;"")),N(K4231)+1,N(K4231))))</f>
        <v>0</v>
      </c>
    </row>
    <row r="4233" customFormat="false" ht="15" hidden="false" customHeight="false" outlineLevel="0" collapsed="false">
      <c r="K4233" s="24" t="n">
        <f aca="false">IF(Search!$B$3="",0,IF($A4233="",N(K4232),IF(ISNUMBER(SEARCH(Search!$B$3,$A4233&amp;"")),N(K4232)+1,N(K4232))))</f>
        <v>0</v>
      </c>
    </row>
    <row r="4234" customFormat="false" ht="15" hidden="false" customHeight="false" outlineLevel="0" collapsed="false">
      <c r="K4234" s="24" t="n">
        <f aca="false">IF(Search!$B$3="",0,IF($A4234="",N(K4233),IF(ISNUMBER(SEARCH(Search!$B$3,$A4234&amp;"")),N(K4233)+1,N(K4233))))</f>
        <v>0</v>
      </c>
    </row>
    <row r="4235" customFormat="false" ht="15" hidden="false" customHeight="false" outlineLevel="0" collapsed="false">
      <c r="K4235" s="24" t="n">
        <f aca="false">IF(Search!$B$3="",0,IF($A4235="",N(K4234),IF(ISNUMBER(SEARCH(Search!$B$3,$A4235&amp;"")),N(K4234)+1,N(K4234))))</f>
        <v>0</v>
      </c>
    </row>
    <row r="4236" customFormat="false" ht="15" hidden="false" customHeight="false" outlineLevel="0" collapsed="false">
      <c r="K4236" s="24" t="n">
        <f aca="false">IF(Search!$B$3="",0,IF($A4236="",N(K4235),IF(ISNUMBER(SEARCH(Search!$B$3,$A4236&amp;"")),N(K4235)+1,N(K4235))))</f>
        <v>0</v>
      </c>
    </row>
    <row r="4237" customFormat="false" ht="15" hidden="false" customHeight="false" outlineLevel="0" collapsed="false">
      <c r="K4237" s="24" t="n">
        <f aca="false">IF(Search!$B$3="",0,IF($A4237="",N(K4236),IF(ISNUMBER(SEARCH(Search!$B$3,$A4237&amp;"")),N(K4236)+1,N(K4236))))</f>
        <v>0</v>
      </c>
    </row>
    <row r="4238" customFormat="false" ht="15" hidden="false" customHeight="false" outlineLevel="0" collapsed="false">
      <c r="K4238" s="24" t="n">
        <f aca="false">IF(Search!$B$3="",0,IF($A4238="",N(K4237),IF(ISNUMBER(SEARCH(Search!$B$3,$A4238&amp;"")),N(K4237)+1,N(K4237))))</f>
        <v>0</v>
      </c>
    </row>
    <row r="4239" customFormat="false" ht="15" hidden="false" customHeight="false" outlineLevel="0" collapsed="false">
      <c r="K4239" s="24" t="n">
        <f aca="false">IF(Search!$B$3="",0,IF($A4239="",N(K4238),IF(ISNUMBER(SEARCH(Search!$B$3,$A4239&amp;"")),N(K4238)+1,N(K4238))))</f>
        <v>0</v>
      </c>
    </row>
    <row r="4240" customFormat="false" ht="15" hidden="false" customHeight="false" outlineLevel="0" collapsed="false">
      <c r="K4240" s="24" t="n">
        <f aca="false">IF(Search!$B$3="",0,IF($A4240="",N(K4239),IF(ISNUMBER(SEARCH(Search!$B$3,$A4240&amp;"")),N(K4239)+1,N(K4239))))</f>
        <v>0</v>
      </c>
    </row>
    <row r="4241" customFormat="false" ht="15" hidden="false" customHeight="false" outlineLevel="0" collapsed="false">
      <c r="K4241" s="24" t="n">
        <f aca="false">IF(Search!$B$3="",0,IF($A4241="",N(K4240),IF(ISNUMBER(SEARCH(Search!$B$3,$A4241&amp;"")),N(K4240)+1,N(K4240))))</f>
        <v>0</v>
      </c>
    </row>
    <row r="4242" customFormat="false" ht="15" hidden="false" customHeight="false" outlineLevel="0" collapsed="false">
      <c r="K4242" s="24" t="n">
        <f aca="false">IF(Search!$B$3="",0,IF($A4242="",N(K4241),IF(ISNUMBER(SEARCH(Search!$B$3,$A4242&amp;"")),N(K4241)+1,N(K4241))))</f>
        <v>0</v>
      </c>
    </row>
    <row r="4243" customFormat="false" ht="15" hidden="false" customHeight="false" outlineLevel="0" collapsed="false">
      <c r="K4243" s="24" t="n">
        <f aca="false">IF(Search!$B$3="",0,IF($A4243="",N(K4242),IF(ISNUMBER(SEARCH(Search!$B$3,$A4243&amp;"")),N(K4242)+1,N(K4242))))</f>
        <v>0</v>
      </c>
    </row>
    <row r="4244" customFormat="false" ht="15" hidden="false" customHeight="false" outlineLevel="0" collapsed="false">
      <c r="K4244" s="24" t="n">
        <f aca="false">IF(Search!$B$3="",0,IF($A4244="",N(K4243),IF(ISNUMBER(SEARCH(Search!$B$3,$A4244&amp;"")),N(K4243)+1,N(K4243))))</f>
        <v>0</v>
      </c>
    </row>
    <row r="4245" customFormat="false" ht="15" hidden="false" customHeight="false" outlineLevel="0" collapsed="false">
      <c r="K4245" s="24" t="n">
        <f aca="false">IF(Search!$B$3="",0,IF($A4245="",N(K4244),IF(ISNUMBER(SEARCH(Search!$B$3,$A4245&amp;"")),N(K4244)+1,N(K4244))))</f>
        <v>0</v>
      </c>
    </row>
    <row r="4246" customFormat="false" ht="15" hidden="false" customHeight="false" outlineLevel="0" collapsed="false">
      <c r="K4246" s="24" t="n">
        <f aca="false">IF(Search!$B$3="",0,IF($A4246="",N(K4245),IF(ISNUMBER(SEARCH(Search!$B$3,$A4246&amp;"")),N(K4245)+1,N(K4245))))</f>
        <v>0</v>
      </c>
    </row>
    <row r="4247" customFormat="false" ht="15" hidden="false" customHeight="false" outlineLevel="0" collapsed="false">
      <c r="K4247" s="24" t="n">
        <f aca="false">IF(Search!$B$3="",0,IF($A4247="",N(K4246),IF(ISNUMBER(SEARCH(Search!$B$3,$A4247&amp;"")),N(K4246)+1,N(K4246))))</f>
        <v>0</v>
      </c>
    </row>
    <row r="4248" customFormat="false" ht="15" hidden="false" customHeight="false" outlineLevel="0" collapsed="false">
      <c r="K4248" s="24" t="n">
        <f aca="false">IF(Search!$B$3="",0,IF($A4248="",N(K4247),IF(ISNUMBER(SEARCH(Search!$B$3,$A4248&amp;"")),N(K4247)+1,N(K4247))))</f>
        <v>0</v>
      </c>
    </row>
    <row r="4249" customFormat="false" ht="15" hidden="false" customHeight="false" outlineLevel="0" collapsed="false">
      <c r="K4249" s="24" t="n">
        <f aca="false">IF(Search!$B$3="",0,IF($A4249="",N(K4248),IF(ISNUMBER(SEARCH(Search!$B$3,$A4249&amp;"")),N(K4248)+1,N(K4248))))</f>
        <v>0</v>
      </c>
    </row>
    <row r="4250" customFormat="false" ht="15" hidden="false" customHeight="false" outlineLevel="0" collapsed="false">
      <c r="K4250" s="24" t="n">
        <f aca="false">IF(Search!$B$3="",0,IF($A4250="",N(K4249),IF(ISNUMBER(SEARCH(Search!$B$3,$A4250&amp;"")),N(K4249)+1,N(K4249))))</f>
        <v>0</v>
      </c>
    </row>
    <row r="4251" customFormat="false" ht="15" hidden="false" customHeight="false" outlineLevel="0" collapsed="false">
      <c r="K4251" s="24" t="n">
        <f aca="false">IF(Search!$B$3="",0,IF($A4251="",N(K4250),IF(ISNUMBER(SEARCH(Search!$B$3,$A4251&amp;"")),N(K4250)+1,N(K4250))))</f>
        <v>0</v>
      </c>
    </row>
    <row r="4252" customFormat="false" ht="15" hidden="false" customHeight="false" outlineLevel="0" collapsed="false">
      <c r="K4252" s="24" t="n">
        <f aca="false">IF(Search!$B$3="",0,IF($A4252="",N(K4251),IF(ISNUMBER(SEARCH(Search!$B$3,$A4252&amp;"")),N(K4251)+1,N(K4251))))</f>
        <v>0</v>
      </c>
    </row>
    <row r="4253" customFormat="false" ht="15" hidden="false" customHeight="false" outlineLevel="0" collapsed="false">
      <c r="K4253" s="24" t="n">
        <f aca="false">IF(Search!$B$3="",0,IF($A4253="",N(K4252),IF(ISNUMBER(SEARCH(Search!$B$3,$A4253&amp;"")),N(K4252)+1,N(K4252))))</f>
        <v>0</v>
      </c>
    </row>
    <row r="4254" customFormat="false" ht="15" hidden="false" customHeight="false" outlineLevel="0" collapsed="false">
      <c r="K4254" s="24" t="n">
        <f aca="false">IF(Search!$B$3="",0,IF($A4254="",N(K4253),IF(ISNUMBER(SEARCH(Search!$B$3,$A4254&amp;"")),N(K4253)+1,N(K4253))))</f>
        <v>0</v>
      </c>
    </row>
    <row r="4255" customFormat="false" ht="15" hidden="false" customHeight="false" outlineLevel="0" collapsed="false">
      <c r="K4255" s="24" t="n">
        <f aca="false">IF(Search!$B$3="",0,IF($A4255="",N(K4254),IF(ISNUMBER(SEARCH(Search!$B$3,$A4255&amp;"")),N(K4254)+1,N(K4254))))</f>
        <v>0</v>
      </c>
    </row>
    <row r="4256" customFormat="false" ht="15" hidden="false" customHeight="false" outlineLevel="0" collapsed="false">
      <c r="K4256" s="24" t="n">
        <f aca="false">IF(Search!$B$3="",0,IF($A4256="",N(K4255),IF(ISNUMBER(SEARCH(Search!$B$3,$A4256&amp;"")),N(K4255)+1,N(K4255))))</f>
        <v>0</v>
      </c>
    </row>
    <row r="4257" customFormat="false" ht="15" hidden="false" customHeight="false" outlineLevel="0" collapsed="false">
      <c r="K4257" s="24" t="n">
        <f aca="false">IF(Search!$B$3="",0,IF($A4257="",N(K4256),IF(ISNUMBER(SEARCH(Search!$B$3,$A4257&amp;"")),N(K4256)+1,N(K4256))))</f>
        <v>0</v>
      </c>
    </row>
    <row r="4258" customFormat="false" ht="15" hidden="false" customHeight="false" outlineLevel="0" collapsed="false">
      <c r="K4258" s="24" t="n">
        <f aca="false">IF(Search!$B$3="",0,IF($A4258="",N(K4257),IF(ISNUMBER(SEARCH(Search!$B$3,$A4258&amp;"")),N(K4257)+1,N(K4257))))</f>
        <v>0</v>
      </c>
    </row>
    <row r="4259" customFormat="false" ht="15" hidden="false" customHeight="false" outlineLevel="0" collapsed="false">
      <c r="K4259" s="24" t="n">
        <f aca="false">IF(Search!$B$3="",0,IF($A4259="",N(K4258),IF(ISNUMBER(SEARCH(Search!$B$3,$A4259&amp;"")),N(K4258)+1,N(K4258))))</f>
        <v>0</v>
      </c>
    </row>
    <row r="4260" customFormat="false" ht="15" hidden="false" customHeight="false" outlineLevel="0" collapsed="false">
      <c r="K4260" s="24" t="n">
        <f aca="false">IF(Search!$B$3="",0,IF($A4260="",N(K4259),IF(ISNUMBER(SEARCH(Search!$B$3,$A4260&amp;"")),N(K4259)+1,N(K4259))))</f>
        <v>0</v>
      </c>
    </row>
    <row r="4261" customFormat="false" ht="15" hidden="false" customHeight="false" outlineLevel="0" collapsed="false">
      <c r="K4261" s="24" t="n">
        <f aca="false">IF(Search!$B$3="",0,IF($A4261="",N(K4260),IF(ISNUMBER(SEARCH(Search!$B$3,$A4261&amp;"")),N(K4260)+1,N(K4260))))</f>
        <v>0</v>
      </c>
    </row>
    <row r="4262" customFormat="false" ht="15" hidden="false" customHeight="false" outlineLevel="0" collapsed="false">
      <c r="K4262" s="24" t="n">
        <f aca="false">IF(Search!$B$3="",0,IF($A4262="",N(K4261),IF(ISNUMBER(SEARCH(Search!$B$3,$A4262&amp;"")),N(K4261)+1,N(K4261))))</f>
        <v>0</v>
      </c>
    </row>
    <row r="4263" customFormat="false" ht="15" hidden="false" customHeight="false" outlineLevel="0" collapsed="false">
      <c r="K4263" s="24" t="n">
        <f aca="false">IF(Search!$B$3="",0,IF($A4263="",N(K4262),IF(ISNUMBER(SEARCH(Search!$B$3,$A4263&amp;"")),N(K4262)+1,N(K4262))))</f>
        <v>0</v>
      </c>
    </row>
    <row r="4264" customFormat="false" ht="15" hidden="false" customHeight="false" outlineLevel="0" collapsed="false">
      <c r="K4264" s="24" t="n">
        <f aca="false">IF(Search!$B$3="",0,IF($A4264="",N(K4263),IF(ISNUMBER(SEARCH(Search!$B$3,$A4264&amp;"")),N(K4263)+1,N(K4263))))</f>
        <v>0</v>
      </c>
    </row>
    <row r="4265" customFormat="false" ht="15" hidden="false" customHeight="false" outlineLevel="0" collapsed="false">
      <c r="K4265" s="24" t="n">
        <f aca="false">IF(Search!$B$3="",0,IF($A4265="",N(K4264),IF(ISNUMBER(SEARCH(Search!$B$3,$A4265&amp;"")),N(K4264)+1,N(K4264))))</f>
        <v>0</v>
      </c>
    </row>
    <row r="4266" customFormat="false" ht="15" hidden="false" customHeight="false" outlineLevel="0" collapsed="false">
      <c r="K4266" s="24" t="n">
        <f aca="false">IF(Search!$B$3="",0,IF($A4266="",N(K4265),IF(ISNUMBER(SEARCH(Search!$B$3,$A4266&amp;"")),N(K4265)+1,N(K4265))))</f>
        <v>0</v>
      </c>
    </row>
    <row r="4267" customFormat="false" ht="15" hidden="false" customHeight="false" outlineLevel="0" collapsed="false">
      <c r="K4267" s="24" t="n">
        <f aca="false">IF(Search!$B$3="",0,IF($A4267="",N(K4266),IF(ISNUMBER(SEARCH(Search!$B$3,$A4267&amp;"")),N(K4266)+1,N(K4266))))</f>
        <v>0</v>
      </c>
    </row>
    <row r="4268" customFormat="false" ht="15" hidden="false" customHeight="false" outlineLevel="0" collapsed="false">
      <c r="K4268" s="24" t="n">
        <f aca="false">IF(Search!$B$3="",0,IF($A4268="",N(K4267),IF(ISNUMBER(SEARCH(Search!$B$3,$A4268&amp;"")),N(K4267)+1,N(K4267))))</f>
        <v>0</v>
      </c>
    </row>
    <row r="4269" customFormat="false" ht="15" hidden="false" customHeight="false" outlineLevel="0" collapsed="false">
      <c r="K4269" s="24" t="n">
        <f aca="false">IF(Search!$B$3="",0,IF($A4269="",N(K4268),IF(ISNUMBER(SEARCH(Search!$B$3,$A4269&amp;"")),N(K4268)+1,N(K4268))))</f>
        <v>0</v>
      </c>
    </row>
    <row r="4270" customFormat="false" ht="15" hidden="false" customHeight="false" outlineLevel="0" collapsed="false">
      <c r="K4270" s="24" t="n">
        <f aca="false">IF(Search!$B$3="",0,IF($A4270="",N(K4269),IF(ISNUMBER(SEARCH(Search!$B$3,$A4270&amp;"")),N(K4269)+1,N(K4269))))</f>
        <v>0</v>
      </c>
    </row>
    <row r="4271" customFormat="false" ht="15" hidden="false" customHeight="false" outlineLevel="0" collapsed="false">
      <c r="K4271" s="24" t="n">
        <f aca="false">IF(Search!$B$3="",0,IF($A4271="",N(K4270),IF(ISNUMBER(SEARCH(Search!$B$3,$A4271&amp;"")),N(K4270)+1,N(K4270))))</f>
        <v>0</v>
      </c>
    </row>
    <row r="4272" customFormat="false" ht="15" hidden="false" customHeight="false" outlineLevel="0" collapsed="false">
      <c r="K4272" s="24" t="n">
        <f aca="false">IF(Search!$B$3="",0,IF($A4272="",N(K4271),IF(ISNUMBER(SEARCH(Search!$B$3,$A4272&amp;"")),N(K4271)+1,N(K4271))))</f>
        <v>0</v>
      </c>
    </row>
    <row r="4273" customFormat="false" ht="15" hidden="false" customHeight="false" outlineLevel="0" collapsed="false">
      <c r="K4273" s="24" t="n">
        <f aca="false">IF(Search!$B$3="",0,IF($A4273="",N(K4272),IF(ISNUMBER(SEARCH(Search!$B$3,$A4273&amp;"")),N(K4272)+1,N(K4272))))</f>
        <v>0</v>
      </c>
    </row>
    <row r="4274" customFormat="false" ht="15" hidden="false" customHeight="false" outlineLevel="0" collapsed="false">
      <c r="K4274" s="24" t="n">
        <f aca="false">IF(Search!$B$3="",0,IF($A4274="",N(K4273),IF(ISNUMBER(SEARCH(Search!$B$3,$A4274&amp;"")),N(K4273)+1,N(K4273))))</f>
        <v>0</v>
      </c>
    </row>
    <row r="4275" customFormat="false" ht="15" hidden="false" customHeight="false" outlineLevel="0" collapsed="false">
      <c r="K4275" s="24" t="n">
        <f aca="false">IF(Search!$B$3="",0,IF($A4275="",N(K4274),IF(ISNUMBER(SEARCH(Search!$B$3,$A4275&amp;"")),N(K4274)+1,N(K4274))))</f>
        <v>0</v>
      </c>
    </row>
    <row r="4276" customFormat="false" ht="15" hidden="false" customHeight="false" outlineLevel="0" collapsed="false">
      <c r="K4276" s="24" t="n">
        <f aca="false">IF(Search!$B$3="",0,IF($A4276="",N(K4275),IF(ISNUMBER(SEARCH(Search!$B$3,$A4276&amp;"")),N(K4275)+1,N(K4275))))</f>
        <v>0</v>
      </c>
    </row>
    <row r="4277" customFormat="false" ht="15" hidden="false" customHeight="false" outlineLevel="0" collapsed="false">
      <c r="K4277" s="24" t="n">
        <f aca="false">IF(Search!$B$3="",0,IF($A4277="",N(K4276),IF(ISNUMBER(SEARCH(Search!$B$3,$A4277&amp;"")),N(K4276)+1,N(K4276))))</f>
        <v>0</v>
      </c>
    </row>
    <row r="4278" customFormat="false" ht="15" hidden="false" customHeight="false" outlineLevel="0" collapsed="false">
      <c r="K4278" s="24" t="n">
        <f aca="false">IF(Search!$B$3="",0,IF($A4278="",N(K4277),IF(ISNUMBER(SEARCH(Search!$B$3,$A4278&amp;"")),N(K4277)+1,N(K4277))))</f>
        <v>0</v>
      </c>
    </row>
    <row r="4279" customFormat="false" ht="15" hidden="false" customHeight="false" outlineLevel="0" collapsed="false">
      <c r="K4279" s="24" t="n">
        <f aca="false">IF(Search!$B$3="",0,IF($A4279="",N(K4278),IF(ISNUMBER(SEARCH(Search!$B$3,$A4279&amp;"")),N(K4278)+1,N(K4278))))</f>
        <v>0</v>
      </c>
    </row>
    <row r="4280" customFormat="false" ht="15" hidden="false" customHeight="false" outlineLevel="0" collapsed="false">
      <c r="K4280" s="24" t="n">
        <f aca="false">IF(Search!$B$3="",0,IF($A4280="",N(K4279),IF(ISNUMBER(SEARCH(Search!$B$3,$A4280&amp;"")),N(K4279)+1,N(K4279))))</f>
        <v>0</v>
      </c>
    </row>
    <row r="4281" customFormat="false" ht="15" hidden="false" customHeight="false" outlineLevel="0" collapsed="false">
      <c r="K4281" s="24" t="n">
        <f aca="false">IF(Search!$B$3="",0,IF($A4281="",N(K4280),IF(ISNUMBER(SEARCH(Search!$B$3,$A4281&amp;"")),N(K4280)+1,N(K4280))))</f>
        <v>0</v>
      </c>
    </row>
    <row r="4282" customFormat="false" ht="15" hidden="false" customHeight="false" outlineLevel="0" collapsed="false">
      <c r="K4282" s="24" t="n">
        <f aca="false">IF(Search!$B$3="",0,IF($A4282="",N(K4281),IF(ISNUMBER(SEARCH(Search!$B$3,$A4282&amp;"")),N(K4281)+1,N(K4281))))</f>
        <v>0</v>
      </c>
    </row>
    <row r="4283" customFormat="false" ht="15" hidden="false" customHeight="false" outlineLevel="0" collapsed="false">
      <c r="K4283" s="24" t="n">
        <f aca="false">IF(Search!$B$3="",0,IF($A4283="",N(K4282),IF(ISNUMBER(SEARCH(Search!$B$3,$A4283&amp;"")),N(K4282)+1,N(K4282))))</f>
        <v>0</v>
      </c>
    </row>
    <row r="4284" customFormat="false" ht="15" hidden="false" customHeight="false" outlineLevel="0" collapsed="false">
      <c r="K4284" s="24" t="n">
        <f aca="false">IF(Search!$B$3="",0,IF($A4284="",N(K4283),IF(ISNUMBER(SEARCH(Search!$B$3,$A4284&amp;"")),N(K4283)+1,N(K4283))))</f>
        <v>0</v>
      </c>
    </row>
    <row r="4285" customFormat="false" ht="15" hidden="false" customHeight="false" outlineLevel="0" collapsed="false">
      <c r="K4285" s="24" t="n">
        <f aca="false">IF(Search!$B$3="",0,IF($A4285="",N(K4284),IF(ISNUMBER(SEARCH(Search!$B$3,$A4285&amp;"")),N(K4284)+1,N(K4284))))</f>
        <v>0</v>
      </c>
    </row>
    <row r="4286" customFormat="false" ht="15" hidden="false" customHeight="false" outlineLevel="0" collapsed="false">
      <c r="K4286" s="24" t="n">
        <f aca="false">IF(Search!$B$3="",0,IF($A4286="",N(K4285),IF(ISNUMBER(SEARCH(Search!$B$3,$A4286&amp;"")),N(K4285)+1,N(K4285))))</f>
        <v>0</v>
      </c>
    </row>
    <row r="4287" customFormat="false" ht="15" hidden="false" customHeight="false" outlineLevel="0" collapsed="false">
      <c r="K4287" s="24" t="n">
        <f aca="false">IF(Search!$B$3="",0,IF($A4287="",N(K4286),IF(ISNUMBER(SEARCH(Search!$B$3,$A4287&amp;"")),N(K4286)+1,N(K4286))))</f>
        <v>0</v>
      </c>
    </row>
    <row r="4288" customFormat="false" ht="15" hidden="false" customHeight="false" outlineLevel="0" collapsed="false">
      <c r="K4288" s="24" t="n">
        <f aca="false">IF(Search!$B$3="",0,IF($A4288="",N(K4287),IF(ISNUMBER(SEARCH(Search!$B$3,$A4288&amp;"")),N(K4287)+1,N(K4287))))</f>
        <v>0</v>
      </c>
    </row>
    <row r="4289" customFormat="false" ht="15" hidden="false" customHeight="false" outlineLevel="0" collapsed="false">
      <c r="K4289" s="24" t="n">
        <f aca="false">IF(Search!$B$3="",0,IF($A4289="",N(K4288),IF(ISNUMBER(SEARCH(Search!$B$3,$A4289&amp;"")),N(K4288)+1,N(K4288))))</f>
        <v>0</v>
      </c>
    </row>
    <row r="4290" customFormat="false" ht="15" hidden="false" customHeight="false" outlineLevel="0" collapsed="false">
      <c r="K4290" s="24" t="n">
        <f aca="false">IF(Search!$B$3="",0,IF($A4290="",N(K4289),IF(ISNUMBER(SEARCH(Search!$B$3,$A4290&amp;"")),N(K4289)+1,N(K4289))))</f>
        <v>0</v>
      </c>
    </row>
    <row r="4291" customFormat="false" ht="15" hidden="false" customHeight="false" outlineLevel="0" collapsed="false">
      <c r="K4291" s="24" t="n">
        <f aca="false">IF(Search!$B$3="",0,IF($A4291="",N(K4290),IF(ISNUMBER(SEARCH(Search!$B$3,$A4291&amp;"")),N(K4290)+1,N(K4290))))</f>
        <v>0</v>
      </c>
    </row>
    <row r="4292" customFormat="false" ht="15" hidden="false" customHeight="false" outlineLevel="0" collapsed="false">
      <c r="K4292" s="24" t="n">
        <f aca="false">IF(Search!$B$3="",0,IF($A4292="",N(K4291),IF(ISNUMBER(SEARCH(Search!$B$3,$A4292&amp;"")),N(K4291)+1,N(K4291))))</f>
        <v>0</v>
      </c>
    </row>
    <row r="4293" customFormat="false" ht="15" hidden="false" customHeight="false" outlineLevel="0" collapsed="false">
      <c r="K4293" s="24" t="n">
        <f aca="false">IF(Search!$B$3="",0,IF($A4293="",N(K4292),IF(ISNUMBER(SEARCH(Search!$B$3,$A4293&amp;"")),N(K4292)+1,N(K4292))))</f>
        <v>0</v>
      </c>
    </row>
    <row r="4294" customFormat="false" ht="15" hidden="false" customHeight="false" outlineLevel="0" collapsed="false">
      <c r="K4294" s="24" t="n">
        <f aca="false">IF(Search!$B$3="",0,IF($A4294="",N(K4293),IF(ISNUMBER(SEARCH(Search!$B$3,$A4294&amp;"")),N(K4293)+1,N(K4293))))</f>
        <v>0</v>
      </c>
    </row>
    <row r="4295" customFormat="false" ht="15" hidden="false" customHeight="false" outlineLevel="0" collapsed="false">
      <c r="K4295" s="24" t="n">
        <f aca="false">IF(Search!$B$3="",0,IF($A4295="",N(K4294),IF(ISNUMBER(SEARCH(Search!$B$3,$A4295&amp;"")),N(K4294)+1,N(K4294))))</f>
        <v>0</v>
      </c>
    </row>
    <row r="4296" customFormat="false" ht="15" hidden="false" customHeight="false" outlineLevel="0" collapsed="false">
      <c r="K4296" s="24" t="n">
        <f aca="false">IF(Search!$B$3="",0,IF($A4296="",N(K4295),IF(ISNUMBER(SEARCH(Search!$B$3,$A4296&amp;"")),N(K4295)+1,N(K4295))))</f>
        <v>0</v>
      </c>
    </row>
    <row r="4297" customFormat="false" ht="15" hidden="false" customHeight="false" outlineLevel="0" collapsed="false">
      <c r="K4297" s="24" t="n">
        <f aca="false">IF(Search!$B$3="",0,IF($A4297="",N(K4296),IF(ISNUMBER(SEARCH(Search!$B$3,$A4297&amp;"")),N(K4296)+1,N(K4296))))</f>
        <v>0</v>
      </c>
    </row>
    <row r="4298" customFormat="false" ht="15" hidden="false" customHeight="false" outlineLevel="0" collapsed="false">
      <c r="K4298" s="24" t="n">
        <f aca="false">IF(Search!$B$3="",0,IF($A4298="",N(K4297),IF(ISNUMBER(SEARCH(Search!$B$3,$A4298&amp;"")),N(K4297)+1,N(K4297))))</f>
        <v>0</v>
      </c>
    </row>
    <row r="4299" customFormat="false" ht="15" hidden="false" customHeight="false" outlineLevel="0" collapsed="false">
      <c r="K4299" s="24" t="n">
        <f aca="false">IF(Search!$B$3="",0,IF($A4299="",N(K4298),IF(ISNUMBER(SEARCH(Search!$B$3,$A4299&amp;"")),N(K4298)+1,N(K4298))))</f>
        <v>0</v>
      </c>
    </row>
    <row r="4300" customFormat="false" ht="15" hidden="false" customHeight="false" outlineLevel="0" collapsed="false">
      <c r="K4300" s="24" t="n">
        <f aca="false">IF(Search!$B$3="",0,IF($A4300="",N(K4299),IF(ISNUMBER(SEARCH(Search!$B$3,$A4300&amp;"")),N(K4299)+1,N(K4299))))</f>
        <v>0</v>
      </c>
    </row>
    <row r="4301" customFormat="false" ht="15" hidden="false" customHeight="false" outlineLevel="0" collapsed="false">
      <c r="K4301" s="24" t="n">
        <f aca="false">IF(Search!$B$3="",0,IF($A4301="",N(K4300),IF(ISNUMBER(SEARCH(Search!$B$3,$A4301&amp;"")),N(K4300)+1,N(K4300))))</f>
        <v>0</v>
      </c>
    </row>
    <row r="4302" customFormat="false" ht="15" hidden="false" customHeight="false" outlineLevel="0" collapsed="false">
      <c r="K4302" s="24" t="n">
        <f aca="false">IF(Search!$B$3="",0,IF($A4302="",N(K4301),IF(ISNUMBER(SEARCH(Search!$B$3,$A4302&amp;"")),N(K4301)+1,N(K4301))))</f>
        <v>0</v>
      </c>
    </row>
    <row r="4303" customFormat="false" ht="15" hidden="false" customHeight="false" outlineLevel="0" collapsed="false">
      <c r="K4303" s="24" t="n">
        <f aca="false">IF(Search!$B$3="",0,IF($A4303="",N(K4302),IF(ISNUMBER(SEARCH(Search!$B$3,$A4303&amp;"")),N(K4302)+1,N(K4302))))</f>
        <v>0</v>
      </c>
    </row>
    <row r="4304" customFormat="false" ht="15" hidden="false" customHeight="false" outlineLevel="0" collapsed="false">
      <c r="K4304" s="24" t="n">
        <f aca="false">IF(Search!$B$3="",0,IF($A4304="",N(K4303),IF(ISNUMBER(SEARCH(Search!$B$3,$A4304&amp;"")),N(K4303)+1,N(K4303))))</f>
        <v>0</v>
      </c>
    </row>
    <row r="4305" customFormat="false" ht="15" hidden="false" customHeight="false" outlineLevel="0" collapsed="false">
      <c r="K4305" s="24" t="n">
        <f aca="false">IF(Search!$B$3="",0,IF($A4305="",N(K4304),IF(ISNUMBER(SEARCH(Search!$B$3,$A4305&amp;"")),N(K4304)+1,N(K4304))))</f>
        <v>0</v>
      </c>
    </row>
    <row r="4306" customFormat="false" ht="15" hidden="false" customHeight="false" outlineLevel="0" collapsed="false">
      <c r="K4306" s="24" t="n">
        <f aca="false">IF(Search!$B$3="",0,IF($A4306="",N(K4305),IF(ISNUMBER(SEARCH(Search!$B$3,$A4306&amp;"")),N(K4305)+1,N(K4305))))</f>
        <v>0</v>
      </c>
    </row>
    <row r="4307" customFormat="false" ht="15" hidden="false" customHeight="false" outlineLevel="0" collapsed="false">
      <c r="K4307" s="24" t="n">
        <f aca="false">IF(Search!$B$3="",0,IF($A4307="",N(K4306),IF(ISNUMBER(SEARCH(Search!$B$3,$A4307&amp;"")),N(K4306)+1,N(K4306))))</f>
        <v>0</v>
      </c>
    </row>
    <row r="4308" customFormat="false" ht="15" hidden="false" customHeight="false" outlineLevel="0" collapsed="false">
      <c r="K4308" s="24" t="n">
        <f aca="false">IF(Search!$B$3="",0,IF($A4308="",N(K4307),IF(ISNUMBER(SEARCH(Search!$B$3,$A4308&amp;"")),N(K4307)+1,N(K4307))))</f>
        <v>0</v>
      </c>
    </row>
    <row r="4309" customFormat="false" ht="15" hidden="false" customHeight="false" outlineLevel="0" collapsed="false">
      <c r="K4309" s="24" t="n">
        <f aca="false">IF(Search!$B$3="",0,IF($A4309="",N(K4308),IF(ISNUMBER(SEARCH(Search!$B$3,$A4309&amp;"")),N(K4308)+1,N(K4308))))</f>
        <v>0</v>
      </c>
    </row>
    <row r="4310" customFormat="false" ht="15" hidden="false" customHeight="false" outlineLevel="0" collapsed="false">
      <c r="K4310" s="24" t="n">
        <f aca="false">IF(Search!$B$3="",0,IF($A4310="",N(K4309),IF(ISNUMBER(SEARCH(Search!$B$3,$A4310&amp;"")),N(K4309)+1,N(K4309))))</f>
        <v>0</v>
      </c>
    </row>
    <row r="4311" customFormat="false" ht="15" hidden="false" customHeight="false" outlineLevel="0" collapsed="false">
      <c r="K4311" s="24" t="n">
        <f aca="false">IF(Search!$B$3="",0,IF($A4311="",N(K4310),IF(ISNUMBER(SEARCH(Search!$B$3,$A4311&amp;"")),N(K4310)+1,N(K4310))))</f>
        <v>0</v>
      </c>
    </row>
    <row r="4312" customFormat="false" ht="15" hidden="false" customHeight="false" outlineLevel="0" collapsed="false">
      <c r="K4312" s="24" t="n">
        <f aca="false">IF(Search!$B$3="",0,IF($A4312="",N(K4311),IF(ISNUMBER(SEARCH(Search!$B$3,$A4312&amp;"")),N(K4311)+1,N(K4311))))</f>
        <v>0</v>
      </c>
    </row>
    <row r="4313" customFormat="false" ht="15" hidden="false" customHeight="false" outlineLevel="0" collapsed="false">
      <c r="K4313" s="24" t="n">
        <f aca="false">IF(Search!$B$3="",0,IF($A4313="",N(K4312),IF(ISNUMBER(SEARCH(Search!$B$3,$A4313&amp;"")),N(K4312)+1,N(K4312))))</f>
        <v>0</v>
      </c>
    </row>
    <row r="4314" customFormat="false" ht="15" hidden="false" customHeight="false" outlineLevel="0" collapsed="false">
      <c r="K4314" s="24" t="n">
        <f aca="false">IF(Search!$B$3="",0,IF($A4314="",N(K4313),IF(ISNUMBER(SEARCH(Search!$B$3,$A4314&amp;"")),N(K4313)+1,N(K4313))))</f>
        <v>0</v>
      </c>
    </row>
    <row r="4315" customFormat="false" ht="15" hidden="false" customHeight="false" outlineLevel="0" collapsed="false">
      <c r="K4315" s="24" t="n">
        <f aca="false">IF(Search!$B$3="",0,IF($A4315="",N(K4314),IF(ISNUMBER(SEARCH(Search!$B$3,$A4315&amp;"")),N(K4314)+1,N(K4314))))</f>
        <v>0</v>
      </c>
    </row>
    <row r="4316" customFormat="false" ht="15" hidden="false" customHeight="false" outlineLevel="0" collapsed="false">
      <c r="K4316" s="24" t="n">
        <f aca="false">IF(Search!$B$3="",0,IF($A4316="",N(K4315),IF(ISNUMBER(SEARCH(Search!$B$3,$A4316&amp;"")),N(K4315)+1,N(K4315))))</f>
        <v>0</v>
      </c>
    </row>
    <row r="4317" customFormat="false" ht="15" hidden="false" customHeight="false" outlineLevel="0" collapsed="false">
      <c r="K4317" s="24" t="n">
        <f aca="false">IF(Search!$B$3="",0,IF($A4317="",N(K4316),IF(ISNUMBER(SEARCH(Search!$B$3,$A4317&amp;"")),N(K4316)+1,N(K4316))))</f>
        <v>0</v>
      </c>
    </row>
    <row r="4318" customFormat="false" ht="15" hidden="false" customHeight="false" outlineLevel="0" collapsed="false">
      <c r="K4318" s="24" t="n">
        <f aca="false">IF(Search!$B$3="",0,IF($A4318="",N(K4317),IF(ISNUMBER(SEARCH(Search!$B$3,$A4318&amp;"")),N(K4317)+1,N(K4317))))</f>
        <v>0</v>
      </c>
    </row>
    <row r="4319" customFormat="false" ht="15" hidden="false" customHeight="false" outlineLevel="0" collapsed="false">
      <c r="K4319" s="24" t="n">
        <f aca="false">IF(Search!$B$3="",0,IF($A4319="",N(K4318),IF(ISNUMBER(SEARCH(Search!$B$3,$A4319&amp;"")),N(K4318)+1,N(K4318))))</f>
        <v>0</v>
      </c>
    </row>
    <row r="4320" customFormat="false" ht="15" hidden="false" customHeight="false" outlineLevel="0" collapsed="false">
      <c r="K4320" s="24" t="n">
        <f aca="false">IF(Search!$B$3="",0,IF($A4320="",N(K4319),IF(ISNUMBER(SEARCH(Search!$B$3,$A4320&amp;"")),N(K4319)+1,N(K4319))))</f>
        <v>0</v>
      </c>
    </row>
    <row r="4321" customFormat="false" ht="15" hidden="false" customHeight="false" outlineLevel="0" collapsed="false">
      <c r="K4321" s="24" t="n">
        <f aca="false">IF(Search!$B$3="",0,IF($A4321="",N(K4320),IF(ISNUMBER(SEARCH(Search!$B$3,$A4321&amp;"")),N(K4320)+1,N(K4320))))</f>
        <v>0</v>
      </c>
    </row>
    <row r="4322" customFormat="false" ht="15" hidden="false" customHeight="false" outlineLevel="0" collapsed="false">
      <c r="K4322" s="24" t="n">
        <f aca="false">IF(Search!$B$3="",0,IF($A4322="",N(K4321),IF(ISNUMBER(SEARCH(Search!$B$3,$A4322&amp;"")),N(K4321)+1,N(K4321))))</f>
        <v>0</v>
      </c>
    </row>
    <row r="4323" customFormat="false" ht="15" hidden="false" customHeight="false" outlineLevel="0" collapsed="false">
      <c r="K4323" s="24" t="n">
        <f aca="false">IF(Search!$B$3="",0,IF($A4323="",N(K4322),IF(ISNUMBER(SEARCH(Search!$B$3,$A4323&amp;"")),N(K4322)+1,N(K4322))))</f>
        <v>0</v>
      </c>
    </row>
    <row r="4324" customFormat="false" ht="15" hidden="false" customHeight="false" outlineLevel="0" collapsed="false">
      <c r="K4324" s="24" t="n">
        <f aca="false">IF(Search!$B$3="",0,IF($A4324="",N(K4323),IF(ISNUMBER(SEARCH(Search!$B$3,$A4324&amp;"")),N(K4323)+1,N(K4323))))</f>
        <v>0</v>
      </c>
    </row>
    <row r="4325" customFormat="false" ht="15" hidden="false" customHeight="false" outlineLevel="0" collapsed="false">
      <c r="K4325" s="24" t="n">
        <f aca="false">IF(Search!$B$3="",0,IF($A4325="",N(K4324),IF(ISNUMBER(SEARCH(Search!$B$3,$A4325&amp;"")),N(K4324)+1,N(K4324))))</f>
        <v>0</v>
      </c>
    </row>
    <row r="4326" customFormat="false" ht="15" hidden="false" customHeight="false" outlineLevel="0" collapsed="false">
      <c r="K4326" s="24" t="n">
        <f aca="false">IF(Search!$B$3="",0,IF($A4326="",N(K4325),IF(ISNUMBER(SEARCH(Search!$B$3,$A4326&amp;"")),N(K4325)+1,N(K4325))))</f>
        <v>0</v>
      </c>
    </row>
    <row r="4327" customFormat="false" ht="15" hidden="false" customHeight="false" outlineLevel="0" collapsed="false">
      <c r="K4327" s="24" t="n">
        <f aca="false">IF(Search!$B$3="",0,IF($A4327="",N(K4326),IF(ISNUMBER(SEARCH(Search!$B$3,$A4327&amp;"")),N(K4326)+1,N(K4326))))</f>
        <v>0</v>
      </c>
    </row>
    <row r="4328" customFormat="false" ht="15" hidden="false" customHeight="false" outlineLevel="0" collapsed="false">
      <c r="K4328" s="24" t="n">
        <f aca="false">IF(Search!$B$3="",0,IF($A4328="",N(K4327),IF(ISNUMBER(SEARCH(Search!$B$3,$A4328&amp;"")),N(K4327)+1,N(K4327))))</f>
        <v>0</v>
      </c>
    </row>
    <row r="4329" customFormat="false" ht="15" hidden="false" customHeight="false" outlineLevel="0" collapsed="false">
      <c r="K4329" s="24" t="n">
        <f aca="false">IF(Search!$B$3="",0,IF($A4329="",N(K4328),IF(ISNUMBER(SEARCH(Search!$B$3,$A4329&amp;"")),N(K4328)+1,N(K4328))))</f>
        <v>0</v>
      </c>
    </row>
    <row r="4330" customFormat="false" ht="15" hidden="false" customHeight="false" outlineLevel="0" collapsed="false">
      <c r="K4330" s="24" t="n">
        <f aca="false">IF(Search!$B$3="",0,IF($A4330="",N(K4329),IF(ISNUMBER(SEARCH(Search!$B$3,$A4330&amp;"")),N(K4329)+1,N(K4329))))</f>
        <v>0</v>
      </c>
    </row>
    <row r="4331" customFormat="false" ht="15" hidden="false" customHeight="false" outlineLevel="0" collapsed="false">
      <c r="K4331" s="24" t="n">
        <f aca="false">IF(Search!$B$3="",0,IF($A4331="",N(K4330),IF(ISNUMBER(SEARCH(Search!$B$3,$A4331&amp;"")),N(K4330)+1,N(K4330))))</f>
        <v>0</v>
      </c>
    </row>
    <row r="4332" customFormat="false" ht="15" hidden="false" customHeight="false" outlineLevel="0" collapsed="false">
      <c r="K4332" s="24" t="n">
        <f aca="false">IF(Search!$B$3="",0,IF($A4332="",N(K4331),IF(ISNUMBER(SEARCH(Search!$B$3,$A4332&amp;"")),N(K4331)+1,N(K4331))))</f>
        <v>0</v>
      </c>
    </row>
    <row r="4333" customFormat="false" ht="15" hidden="false" customHeight="false" outlineLevel="0" collapsed="false">
      <c r="K4333" s="24" t="n">
        <f aca="false">IF(Search!$B$3="",0,IF($A4333="",N(K4332),IF(ISNUMBER(SEARCH(Search!$B$3,$A4333&amp;"")),N(K4332)+1,N(K4332))))</f>
        <v>0</v>
      </c>
    </row>
    <row r="4334" customFormat="false" ht="15" hidden="false" customHeight="false" outlineLevel="0" collapsed="false">
      <c r="K4334" s="24" t="n">
        <f aca="false">IF(Search!$B$3="",0,IF($A4334="",N(K4333),IF(ISNUMBER(SEARCH(Search!$B$3,$A4334&amp;"")),N(K4333)+1,N(K4333))))</f>
        <v>0</v>
      </c>
    </row>
    <row r="4335" customFormat="false" ht="15" hidden="false" customHeight="false" outlineLevel="0" collapsed="false">
      <c r="K4335" s="24" t="n">
        <f aca="false">IF(Search!$B$3="",0,IF($A4335="",N(K4334),IF(ISNUMBER(SEARCH(Search!$B$3,$A4335&amp;"")),N(K4334)+1,N(K4334))))</f>
        <v>0</v>
      </c>
    </row>
    <row r="4336" customFormat="false" ht="15" hidden="false" customHeight="false" outlineLevel="0" collapsed="false">
      <c r="K4336" s="24" t="n">
        <f aca="false">IF(Search!$B$3="",0,IF($A4336="",N(K4335),IF(ISNUMBER(SEARCH(Search!$B$3,$A4336&amp;"")),N(K4335)+1,N(K4335))))</f>
        <v>0</v>
      </c>
    </row>
    <row r="4337" customFormat="false" ht="15" hidden="false" customHeight="false" outlineLevel="0" collapsed="false">
      <c r="K4337" s="24" t="n">
        <f aca="false">IF(Search!$B$3="",0,IF($A4337="",N(K4336),IF(ISNUMBER(SEARCH(Search!$B$3,$A4337&amp;"")),N(K4336)+1,N(K4336))))</f>
        <v>0</v>
      </c>
    </row>
    <row r="4338" customFormat="false" ht="15" hidden="false" customHeight="false" outlineLevel="0" collapsed="false">
      <c r="K4338" s="24" t="n">
        <f aca="false">IF(Search!$B$3="",0,IF($A4338="",N(K4337),IF(ISNUMBER(SEARCH(Search!$B$3,$A4338&amp;"")),N(K4337)+1,N(K4337))))</f>
        <v>0</v>
      </c>
    </row>
    <row r="4339" customFormat="false" ht="15" hidden="false" customHeight="false" outlineLevel="0" collapsed="false">
      <c r="K4339" s="24" t="n">
        <f aca="false">IF(Search!$B$3="",0,IF($A4339="",N(K4338),IF(ISNUMBER(SEARCH(Search!$B$3,$A4339&amp;"")),N(K4338)+1,N(K4338))))</f>
        <v>0</v>
      </c>
    </row>
    <row r="4340" customFormat="false" ht="15" hidden="false" customHeight="false" outlineLevel="0" collapsed="false">
      <c r="K4340" s="24" t="n">
        <f aca="false">IF(Search!$B$3="",0,IF($A4340="",N(K4339),IF(ISNUMBER(SEARCH(Search!$B$3,$A4340&amp;"")),N(K4339)+1,N(K4339))))</f>
        <v>0</v>
      </c>
    </row>
    <row r="4341" customFormat="false" ht="15" hidden="false" customHeight="false" outlineLevel="0" collapsed="false">
      <c r="K4341" s="24" t="n">
        <f aca="false">IF(Search!$B$3="",0,IF($A4341="",N(K4340),IF(ISNUMBER(SEARCH(Search!$B$3,$A4341&amp;"")),N(K4340)+1,N(K4340))))</f>
        <v>0</v>
      </c>
    </row>
    <row r="4342" customFormat="false" ht="15" hidden="false" customHeight="false" outlineLevel="0" collapsed="false">
      <c r="K4342" s="24" t="n">
        <f aca="false">IF(Search!$B$3="",0,IF($A4342="",N(K4341),IF(ISNUMBER(SEARCH(Search!$B$3,$A4342&amp;"")),N(K4341)+1,N(K4341))))</f>
        <v>0</v>
      </c>
    </row>
    <row r="4343" customFormat="false" ht="15" hidden="false" customHeight="false" outlineLevel="0" collapsed="false">
      <c r="K4343" s="24" t="n">
        <f aca="false">IF(Search!$B$3="",0,IF($A4343="",N(K4342),IF(ISNUMBER(SEARCH(Search!$B$3,$A4343&amp;"")),N(K4342)+1,N(K4342))))</f>
        <v>0</v>
      </c>
    </row>
    <row r="4344" customFormat="false" ht="15" hidden="false" customHeight="false" outlineLevel="0" collapsed="false">
      <c r="K4344" s="24" t="n">
        <f aca="false">IF(Search!$B$3="",0,IF($A4344="",N(K4343),IF(ISNUMBER(SEARCH(Search!$B$3,$A4344&amp;"")),N(K4343)+1,N(K4343))))</f>
        <v>0</v>
      </c>
    </row>
    <row r="4345" customFormat="false" ht="15" hidden="false" customHeight="false" outlineLevel="0" collapsed="false">
      <c r="K4345" s="24" t="n">
        <f aca="false">IF(Search!$B$3="",0,IF($A4345="",N(K4344),IF(ISNUMBER(SEARCH(Search!$B$3,$A4345&amp;"")),N(K4344)+1,N(K4344))))</f>
        <v>0</v>
      </c>
    </row>
    <row r="4346" customFormat="false" ht="15" hidden="false" customHeight="false" outlineLevel="0" collapsed="false">
      <c r="K4346" s="24" t="n">
        <f aca="false">IF(Search!$B$3="",0,IF($A4346="",N(K4345),IF(ISNUMBER(SEARCH(Search!$B$3,$A4346&amp;"")),N(K4345)+1,N(K4345))))</f>
        <v>0</v>
      </c>
    </row>
    <row r="4347" customFormat="false" ht="15" hidden="false" customHeight="false" outlineLevel="0" collapsed="false">
      <c r="K4347" s="24" t="n">
        <f aca="false">IF(Search!$B$3="",0,IF($A4347="",N(K4346),IF(ISNUMBER(SEARCH(Search!$B$3,$A4347&amp;"")),N(K4346)+1,N(K4346))))</f>
        <v>0</v>
      </c>
    </row>
    <row r="4348" customFormat="false" ht="15" hidden="false" customHeight="false" outlineLevel="0" collapsed="false">
      <c r="K4348" s="24" t="n">
        <f aca="false">IF(Search!$B$3="",0,IF($A4348="",N(K4347),IF(ISNUMBER(SEARCH(Search!$B$3,$A4348&amp;"")),N(K4347)+1,N(K4347))))</f>
        <v>0</v>
      </c>
    </row>
    <row r="4349" customFormat="false" ht="15" hidden="false" customHeight="false" outlineLevel="0" collapsed="false">
      <c r="K4349" s="24" t="n">
        <f aca="false">IF(Search!$B$3="",0,IF($A4349="",N(K4348),IF(ISNUMBER(SEARCH(Search!$B$3,$A4349&amp;"")),N(K4348)+1,N(K4348))))</f>
        <v>0</v>
      </c>
    </row>
    <row r="4350" customFormat="false" ht="15" hidden="false" customHeight="false" outlineLevel="0" collapsed="false">
      <c r="K4350" s="24" t="n">
        <f aca="false">IF(Search!$B$3="",0,IF($A4350="",N(K4349),IF(ISNUMBER(SEARCH(Search!$B$3,$A4350&amp;"")),N(K4349)+1,N(K4349))))</f>
        <v>0</v>
      </c>
    </row>
    <row r="4351" customFormat="false" ht="15" hidden="false" customHeight="false" outlineLevel="0" collapsed="false">
      <c r="K4351" s="24" t="n">
        <f aca="false">IF(Search!$B$3="",0,IF($A4351="",N(K4350),IF(ISNUMBER(SEARCH(Search!$B$3,$A4351&amp;"")),N(K4350)+1,N(K4350))))</f>
        <v>0</v>
      </c>
    </row>
    <row r="4352" customFormat="false" ht="15" hidden="false" customHeight="false" outlineLevel="0" collapsed="false">
      <c r="K4352" s="24" t="n">
        <f aca="false">IF(Search!$B$3="",0,IF($A4352="",N(K4351),IF(ISNUMBER(SEARCH(Search!$B$3,$A4352&amp;"")),N(K4351)+1,N(K4351))))</f>
        <v>0</v>
      </c>
    </row>
    <row r="4353" customFormat="false" ht="15" hidden="false" customHeight="false" outlineLevel="0" collapsed="false">
      <c r="K4353" s="24" t="n">
        <f aca="false">IF(Search!$B$3="",0,IF($A4353="",N(K4352),IF(ISNUMBER(SEARCH(Search!$B$3,$A4353&amp;"")),N(K4352)+1,N(K4352))))</f>
        <v>0</v>
      </c>
    </row>
    <row r="4354" customFormat="false" ht="15" hidden="false" customHeight="false" outlineLevel="0" collapsed="false">
      <c r="K4354" s="24" t="n">
        <f aca="false">IF(Search!$B$3="",0,IF($A4354="",N(K4353),IF(ISNUMBER(SEARCH(Search!$B$3,$A4354&amp;"")),N(K4353)+1,N(K4353))))</f>
        <v>0</v>
      </c>
    </row>
    <row r="4355" customFormat="false" ht="15" hidden="false" customHeight="false" outlineLevel="0" collapsed="false">
      <c r="K4355" s="24" t="n">
        <f aca="false">IF(Search!$B$3="",0,IF($A4355="",N(K4354),IF(ISNUMBER(SEARCH(Search!$B$3,$A4355&amp;"")),N(K4354)+1,N(K4354))))</f>
        <v>0</v>
      </c>
    </row>
    <row r="4356" customFormat="false" ht="15" hidden="false" customHeight="false" outlineLevel="0" collapsed="false">
      <c r="K4356" s="24" t="n">
        <f aca="false">IF(Search!$B$3="",0,IF($A4356="",N(K4355),IF(ISNUMBER(SEARCH(Search!$B$3,$A4356&amp;"")),N(K4355)+1,N(K4355))))</f>
        <v>0</v>
      </c>
    </row>
    <row r="4357" customFormat="false" ht="15" hidden="false" customHeight="false" outlineLevel="0" collapsed="false">
      <c r="K4357" s="24" t="n">
        <f aca="false">IF(Search!$B$3="",0,IF($A4357="",N(K4356),IF(ISNUMBER(SEARCH(Search!$B$3,$A4357&amp;"")),N(K4356)+1,N(K4356))))</f>
        <v>0</v>
      </c>
    </row>
    <row r="4358" customFormat="false" ht="15" hidden="false" customHeight="false" outlineLevel="0" collapsed="false">
      <c r="K4358" s="24" t="n">
        <f aca="false">IF(Search!$B$3="",0,IF($A4358="",N(K4357),IF(ISNUMBER(SEARCH(Search!$B$3,$A4358&amp;"")),N(K4357)+1,N(K4357))))</f>
        <v>0</v>
      </c>
    </row>
    <row r="4359" customFormat="false" ht="15" hidden="false" customHeight="false" outlineLevel="0" collapsed="false">
      <c r="K4359" s="24" t="n">
        <f aca="false">IF(Search!$B$3="",0,IF($A4359="",N(K4358),IF(ISNUMBER(SEARCH(Search!$B$3,$A4359&amp;"")),N(K4358)+1,N(K4358))))</f>
        <v>0</v>
      </c>
    </row>
    <row r="4360" customFormat="false" ht="15" hidden="false" customHeight="false" outlineLevel="0" collapsed="false">
      <c r="K4360" s="24" t="n">
        <f aca="false">IF(Search!$B$3="",0,IF($A4360="",N(K4359),IF(ISNUMBER(SEARCH(Search!$B$3,$A4360&amp;"")),N(K4359)+1,N(K4359))))</f>
        <v>0</v>
      </c>
    </row>
    <row r="4361" customFormat="false" ht="15" hidden="false" customHeight="false" outlineLevel="0" collapsed="false">
      <c r="K4361" s="24" t="n">
        <f aca="false">IF(Search!$B$3="",0,IF($A4361="",N(K4360),IF(ISNUMBER(SEARCH(Search!$B$3,$A4361&amp;"")),N(K4360)+1,N(K4360))))</f>
        <v>0</v>
      </c>
    </row>
    <row r="4362" customFormat="false" ht="15" hidden="false" customHeight="false" outlineLevel="0" collapsed="false">
      <c r="K4362" s="24" t="n">
        <f aca="false">IF(Search!$B$3="",0,IF($A4362="",N(K4361),IF(ISNUMBER(SEARCH(Search!$B$3,$A4362&amp;"")),N(K4361)+1,N(K4361))))</f>
        <v>0</v>
      </c>
    </row>
    <row r="4363" customFormat="false" ht="15" hidden="false" customHeight="false" outlineLevel="0" collapsed="false">
      <c r="K4363" s="24" t="n">
        <f aca="false">IF(Search!$B$3="",0,IF($A4363="",N(K4362),IF(ISNUMBER(SEARCH(Search!$B$3,$A4363&amp;"")),N(K4362)+1,N(K4362))))</f>
        <v>0</v>
      </c>
    </row>
    <row r="4364" customFormat="false" ht="15" hidden="false" customHeight="false" outlineLevel="0" collapsed="false">
      <c r="K4364" s="24" t="n">
        <f aca="false">IF(Search!$B$3="",0,IF($A4364="",N(K4363),IF(ISNUMBER(SEARCH(Search!$B$3,$A4364&amp;"")),N(K4363)+1,N(K4363))))</f>
        <v>0</v>
      </c>
    </row>
    <row r="4365" customFormat="false" ht="15" hidden="false" customHeight="false" outlineLevel="0" collapsed="false">
      <c r="K4365" s="24" t="n">
        <f aca="false">IF(Search!$B$3="",0,IF($A4365="",N(K4364),IF(ISNUMBER(SEARCH(Search!$B$3,$A4365&amp;"")),N(K4364)+1,N(K4364))))</f>
        <v>0</v>
      </c>
    </row>
    <row r="4366" customFormat="false" ht="15" hidden="false" customHeight="false" outlineLevel="0" collapsed="false">
      <c r="K4366" s="24" t="n">
        <f aca="false">IF(Search!$B$3="",0,IF($A4366="",N(K4365),IF(ISNUMBER(SEARCH(Search!$B$3,$A4366&amp;"")),N(K4365)+1,N(K4365))))</f>
        <v>0</v>
      </c>
    </row>
    <row r="4367" customFormat="false" ht="15" hidden="false" customHeight="false" outlineLevel="0" collapsed="false">
      <c r="K4367" s="24" t="n">
        <f aca="false">IF(Search!$B$3="",0,IF($A4367="",N(K4366),IF(ISNUMBER(SEARCH(Search!$B$3,$A4367&amp;"")),N(K4366)+1,N(K4366))))</f>
        <v>0</v>
      </c>
    </row>
    <row r="4368" customFormat="false" ht="15" hidden="false" customHeight="false" outlineLevel="0" collapsed="false">
      <c r="K4368" s="24" t="n">
        <f aca="false">IF(Search!$B$3="",0,IF($A4368="",N(K4367),IF(ISNUMBER(SEARCH(Search!$B$3,$A4368&amp;"")),N(K4367)+1,N(K4367))))</f>
        <v>0</v>
      </c>
    </row>
    <row r="4369" customFormat="false" ht="15" hidden="false" customHeight="false" outlineLevel="0" collapsed="false">
      <c r="K4369" s="24" t="n">
        <f aca="false">IF(Search!$B$3="",0,IF($A4369="",N(K4368),IF(ISNUMBER(SEARCH(Search!$B$3,$A4369&amp;"")),N(K4368)+1,N(K4368))))</f>
        <v>0</v>
      </c>
    </row>
    <row r="4370" customFormat="false" ht="15" hidden="false" customHeight="false" outlineLevel="0" collapsed="false">
      <c r="K4370" s="24" t="n">
        <f aca="false">IF(Search!$B$3="",0,IF($A4370="",N(K4369),IF(ISNUMBER(SEARCH(Search!$B$3,$A4370&amp;"")),N(K4369)+1,N(K4369))))</f>
        <v>0</v>
      </c>
    </row>
    <row r="4371" customFormat="false" ht="15" hidden="false" customHeight="false" outlineLevel="0" collapsed="false">
      <c r="K4371" s="24" t="n">
        <f aca="false">IF(Search!$B$3="",0,IF($A4371="",N(K4370),IF(ISNUMBER(SEARCH(Search!$B$3,$A4371&amp;"")),N(K4370)+1,N(K4370))))</f>
        <v>0</v>
      </c>
    </row>
    <row r="4372" customFormat="false" ht="15" hidden="false" customHeight="false" outlineLevel="0" collapsed="false">
      <c r="K4372" s="24" t="n">
        <f aca="false">IF(Search!$B$3="",0,IF($A4372="",N(K4371),IF(ISNUMBER(SEARCH(Search!$B$3,$A4372&amp;"")),N(K4371)+1,N(K4371))))</f>
        <v>0</v>
      </c>
    </row>
    <row r="4373" customFormat="false" ht="15" hidden="false" customHeight="false" outlineLevel="0" collapsed="false">
      <c r="K4373" s="24" t="n">
        <f aca="false">IF(Search!$B$3="",0,IF($A4373="",N(K4372),IF(ISNUMBER(SEARCH(Search!$B$3,$A4373&amp;"")),N(K4372)+1,N(K4372))))</f>
        <v>0</v>
      </c>
    </row>
    <row r="4374" customFormat="false" ht="15" hidden="false" customHeight="false" outlineLevel="0" collapsed="false">
      <c r="K4374" s="24" t="n">
        <f aca="false">IF(Search!$B$3="",0,IF($A4374="",N(K4373),IF(ISNUMBER(SEARCH(Search!$B$3,$A4374&amp;"")),N(K4373)+1,N(K4373))))</f>
        <v>0</v>
      </c>
    </row>
    <row r="4375" customFormat="false" ht="15" hidden="false" customHeight="false" outlineLevel="0" collapsed="false">
      <c r="K4375" s="24" t="n">
        <f aca="false">IF(Search!$B$3="",0,IF($A4375="",N(K4374),IF(ISNUMBER(SEARCH(Search!$B$3,$A4375&amp;"")),N(K4374)+1,N(K4374))))</f>
        <v>0</v>
      </c>
    </row>
    <row r="4376" customFormat="false" ht="15" hidden="false" customHeight="false" outlineLevel="0" collapsed="false">
      <c r="K4376" s="24" t="n">
        <f aca="false">IF(Search!$B$3="",0,IF($A4376="",N(K4375),IF(ISNUMBER(SEARCH(Search!$B$3,$A4376&amp;"")),N(K4375)+1,N(K4375))))</f>
        <v>0</v>
      </c>
    </row>
    <row r="4377" customFormat="false" ht="15" hidden="false" customHeight="false" outlineLevel="0" collapsed="false">
      <c r="K4377" s="24" t="n">
        <f aca="false">IF(Search!$B$3="",0,IF($A4377="",N(K4376),IF(ISNUMBER(SEARCH(Search!$B$3,$A4377&amp;"")),N(K4376)+1,N(K4376))))</f>
        <v>0</v>
      </c>
    </row>
    <row r="4378" customFormat="false" ht="15" hidden="false" customHeight="false" outlineLevel="0" collapsed="false">
      <c r="K4378" s="24" t="n">
        <f aca="false">IF(Search!$B$3="",0,IF($A4378="",N(K4377),IF(ISNUMBER(SEARCH(Search!$B$3,$A4378&amp;"")),N(K4377)+1,N(K4377))))</f>
        <v>0</v>
      </c>
    </row>
    <row r="4379" customFormat="false" ht="15" hidden="false" customHeight="false" outlineLevel="0" collapsed="false">
      <c r="K4379" s="24" t="n">
        <f aca="false">IF(Search!$B$3="",0,IF($A4379="",N(K4378),IF(ISNUMBER(SEARCH(Search!$B$3,$A4379&amp;"")),N(K4378)+1,N(K4378))))</f>
        <v>0</v>
      </c>
    </row>
    <row r="4380" customFormat="false" ht="15" hidden="false" customHeight="false" outlineLevel="0" collapsed="false">
      <c r="K4380" s="24" t="n">
        <f aca="false">IF(Search!$B$3="",0,IF($A4380="",N(K4379),IF(ISNUMBER(SEARCH(Search!$B$3,$A4380&amp;"")),N(K4379)+1,N(K4379))))</f>
        <v>0</v>
      </c>
    </row>
    <row r="4381" customFormat="false" ht="15" hidden="false" customHeight="false" outlineLevel="0" collapsed="false">
      <c r="K4381" s="24" t="n">
        <f aca="false">IF(Search!$B$3="",0,IF($A4381="",N(K4380),IF(ISNUMBER(SEARCH(Search!$B$3,$A4381&amp;"")),N(K4380)+1,N(K4380))))</f>
        <v>0</v>
      </c>
    </row>
    <row r="4382" customFormat="false" ht="15" hidden="false" customHeight="false" outlineLevel="0" collapsed="false">
      <c r="K4382" s="24" t="n">
        <f aca="false">IF(Search!$B$3="",0,IF($A4382="",N(K4381),IF(ISNUMBER(SEARCH(Search!$B$3,$A4382&amp;"")),N(K4381)+1,N(K4381))))</f>
        <v>0</v>
      </c>
    </row>
    <row r="4383" customFormat="false" ht="15" hidden="false" customHeight="false" outlineLevel="0" collapsed="false">
      <c r="K4383" s="24" t="n">
        <f aca="false">IF(Search!$B$3="",0,IF($A4383="",N(K4382),IF(ISNUMBER(SEARCH(Search!$B$3,$A4383&amp;"")),N(K4382)+1,N(K4382))))</f>
        <v>0</v>
      </c>
    </row>
    <row r="4384" customFormat="false" ht="15" hidden="false" customHeight="false" outlineLevel="0" collapsed="false">
      <c r="K4384" s="24" t="n">
        <f aca="false">IF(Search!$B$3="",0,IF($A4384="",N(K4383),IF(ISNUMBER(SEARCH(Search!$B$3,$A4384&amp;"")),N(K4383)+1,N(K4383))))</f>
        <v>0</v>
      </c>
    </row>
    <row r="4385" customFormat="false" ht="15" hidden="false" customHeight="false" outlineLevel="0" collapsed="false">
      <c r="K4385" s="24" t="n">
        <f aca="false">IF(Search!$B$3="",0,IF($A4385="",N(K4384),IF(ISNUMBER(SEARCH(Search!$B$3,$A4385&amp;"")),N(K4384)+1,N(K4384))))</f>
        <v>0</v>
      </c>
    </row>
    <row r="4386" customFormat="false" ht="15" hidden="false" customHeight="false" outlineLevel="0" collapsed="false">
      <c r="K4386" s="24" t="n">
        <f aca="false">IF(Search!$B$3="",0,IF($A4386="",N(K4385),IF(ISNUMBER(SEARCH(Search!$B$3,$A4386&amp;"")),N(K4385)+1,N(K4385))))</f>
        <v>0</v>
      </c>
    </row>
    <row r="4387" customFormat="false" ht="15" hidden="false" customHeight="false" outlineLevel="0" collapsed="false">
      <c r="K4387" s="24" t="n">
        <f aca="false">IF(Search!$B$3="",0,IF($A4387="",N(K4386),IF(ISNUMBER(SEARCH(Search!$B$3,$A4387&amp;"")),N(K4386)+1,N(K4386))))</f>
        <v>0</v>
      </c>
    </row>
    <row r="4388" customFormat="false" ht="15" hidden="false" customHeight="false" outlineLevel="0" collapsed="false">
      <c r="K4388" s="24" t="n">
        <f aca="false">IF(Search!$B$3="",0,IF($A4388="",N(K4387),IF(ISNUMBER(SEARCH(Search!$B$3,$A4388&amp;"")),N(K4387)+1,N(K4387))))</f>
        <v>0</v>
      </c>
    </row>
    <row r="4389" customFormat="false" ht="15" hidden="false" customHeight="false" outlineLevel="0" collapsed="false">
      <c r="K4389" s="24" t="n">
        <f aca="false">IF(Search!$B$3="",0,IF($A4389="",N(K4388),IF(ISNUMBER(SEARCH(Search!$B$3,$A4389&amp;"")),N(K4388)+1,N(K4388))))</f>
        <v>0</v>
      </c>
    </row>
    <row r="4390" customFormat="false" ht="15" hidden="false" customHeight="false" outlineLevel="0" collapsed="false">
      <c r="K4390" s="24" t="n">
        <f aca="false">IF(Search!$B$3="",0,IF($A4390="",N(K4389),IF(ISNUMBER(SEARCH(Search!$B$3,$A4390&amp;"")),N(K4389)+1,N(K4389))))</f>
        <v>0</v>
      </c>
    </row>
    <row r="4391" customFormat="false" ht="15" hidden="false" customHeight="false" outlineLevel="0" collapsed="false">
      <c r="K4391" s="24" t="n">
        <f aca="false">IF(Search!$B$3="",0,IF($A4391="",N(K4390),IF(ISNUMBER(SEARCH(Search!$B$3,$A4391&amp;"")),N(K4390)+1,N(K4390))))</f>
        <v>0</v>
      </c>
    </row>
    <row r="4392" customFormat="false" ht="15" hidden="false" customHeight="false" outlineLevel="0" collapsed="false">
      <c r="K4392" s="24" t="n">
        <f aca="false">IF(Search!$B$3="",0,IF($A4392="",N(K4391),IF(ISNUMBER(SEARCH(Search!$B$3,$A4392&amp;"")),N(K4391)+1,N(K4391))))</f>
        <v>0</v>
      </c>
    </row>
    <row r="4393" customFormat="false" ht="15" hidden="false" customHeight="false" outlineLevel="0" collapsed="false">
      <c r="K4393" s="24" t="n">
        <f aca="false">IF(Search!$B$3="",0,IF($A4393="",N(K4392),IF(ISNUMBER(SEARCH(Search!$B$3,$A4393&amp;"")),N(K4392)+1,N(K4392))))</f>
        <v>0</v>
      </c>
    </row>
    <row r="4394" customFormat="false" ht="15" hidden="false" customHeight="false" outlineLevel="0" collapsed="false">
      <c r="K4394" s="24" t="n">
        <f aca="false">IF(Search!$B$3="",0,IF($A4394="",N(K4393),IF(ISNUMBER(SEARCH(Search!$B$3,$A4394&amp;"")),N(K4393)+1,N(K4393))))</f>
        <v>0</v>
      </c>
    </row>
    <row r="4395" customFormat="false" ht="15" hidden="false" customHeight="false" outlineLevel="0" collapsed="false">
      <c r="K4395" s="24" t="n">
        <f aca="false">IF(Search!$B$3="",0,IF($A4395="",N(K4394),IF(ISNUMBER(SEARCH(Search!$B$3,$A4395&amp;"")),N(K4394)+1,N(K4394))))</f>
        <v>0</v>
      </c>
    </row>
    <row r="4396" customFormat="false" ht="15" hidden="false" customHeight="false" outlineLevel="0" collapsed="false">
      <c r="K4396" s="24" t="n">
        <f aca="false">IF(Search!$B$3="",0,IF($A4396="",N(K4395),IF(ISNUMBER(SEARCH(Search!$B$3,$A4396&amp;"")),N(K4395)+1,N(K4395))))</f>
        <v>0</v>
      </c>
    </row>
    <row r="4397" customFormat="false" ht="15" hidden="false" customHeight="false" outlineLevel="0" collapsed="false">
      <c r="K4397" s="24" t="n">
        <f aca="false">IF(Search!$B$3="",0,IF($A4397="",N(K4396),IF(ISNUMBER(SEARCH(Search!$B$3,$A4397&amp;"")),N(K4396)+1,N(K4396))))</f>
        <v>0</v>
      </c>
    </row>
    <row r="4398" customFormat="false" ht="15" hidden="false" customHeight="false" outlineLevel="0" collapsed="false">
      <c r="K4398" s="24" t="n">
        <f aca="false">IF(Search!$B$3="",0,IF($A4398="",N(K4397),IF(ISNUMBER(SEARCH(Search!$B$3,$A4398&amp;"")),N(K4397)+1,N(K4397))))</f>
        <v>0</v>
      </c>
    </row>
    <row r="4399" customFormat="false" ht="15" hidden="false" customHeight="false" outlineLevel="0" collapsed="false">
      <c r="K4399" s="24" t="n">
        <f aca="false">IF(Search!$B$3="",0,IF($A4399="",N(K4398),IF(ISNUMBER(SEARCH(Search!$B$3,$A4399&amp;"")),N(K4398)+1,N(K4398))))</f>
        <v>0</v>
      </c>
    </row>
    <row r="4400" customFormat="false" ht="15" hidden="false" customHeight="false" outlineLevel="0" collapsed="false">
      <c r="K4400" s="24" t="n">
        <f aca="false">IF(Search!$B$3="",0,IF($A4400="",N(K4399),IF(ISNUMBER(SEARCH(Search!$B$3,$A4400&amp;"")),N(K4399)+1,N(K4399))))</f>
        <v>0</v>
      </c>
    </row>
    <row r="4401" customFormat="false" ht="15" hidden="false" customHeight="false" outlineLevel="0" collapsed="false">
      <c r="K4401" s="24" t="n">
        <f aca="false">IF(Search!$B$3="",0,IF($A4401="",N(K4400),IF(ISNUMBER(SEARCH(Search!$B$3,$A4401&amp;"")),N(K4400)+1,N(K4400))))</f>
        <v>0</v>
      </c>
    </row>
    <row r="4402" customFormat="false" ht="15" hidden="false" customHeight="false" outlineLevel="0" collapsed="false">
      <c r="K4402" s="24" t="n">
        <f aca="false">IF(Search!$B$3="",0,IF($A4402="",N(K4401),IF(ISNUMBER(SEARCH(Search!$B$3,$A4402&amp;"")),N(K4401)+1,N(K4401))))</f>
        <v>0</v>
      </c>
    </row>
    <row r="4403" customFormat="false" ht="15" hidden="false" customHeight="false" outlineLevel="0" collapsed="false">
      <c r="K4403" s="24" t="n">
        <f aca="false">IF(Search!$B$3="",0,IF($A4403="",N(K4402),IF(ISNUMBER(SEARCH(Search!$B$3,$A4403&amp;"")),N(K4402)+1,N(K4402))))</f>
        <v>0</v>
      </c>
    </row>
    <row r="4404" customFormat="false" ht="15" hidden="false" customHeight="false" outlineLevel="0" collapsed="false">
      <c r="K4404" s="24" t="n">
        <f aca="false">IF(Search!$B$3="",0,IF($A4404="",N(K4403),IF(ISNUMBER(SEARCH(Search!$B$3,$A4404&amp;"")),N(K4403)+1,N(K4403))))</f>
        <v>0</v>
      </c>
    </row>
    <row r="4405" customFormat="false" ht="15" hidden="false" customHeight="false" outlineLevel="0" collapsed="false">
      <c r="K4405" s="24" t="n">
        <f aca="false">IF(Search!$B$3="",0,IF($A4405="",N(K4404),IF(ISNUMBER(SEARCH(Search!$B$3,$A4405&amp;"")),N(K4404)+1,N(K4404))))</f>
        <v>0</v>
      </c>
    </row>
    <row r="4406" customFormat="false" ht="15" hidden="false" customHeight="false" outlineLevel="0" collapsed="false">
      <c r="K4406" s="24" t="n">
        <f aca="false">IF(Search!$B$3="",0,IF($A4406="",N(K4405),IF(ISNUMBER(SEARCH(Search!$B$3,$A4406&amp;"")),N(K4405)+1,N(K4405))))</f>
        <v>0</v>
      </c>
    </row>
    <row r="4407" customFormat="false" ht="15" hidden="false" customHeight="false" outlineLevel="0" collapsed="false">
      <c r="K4407" s="24" t="n">
        <f aca="false">IF(Search!$B$3="",0,IF($A4407="",N(K4406),IF(ISNUMBER(SEARCH(Search!$B$3,$A4407&amp;"")),N(K4406)+1,N(K4406))))</f>
        <v>0</v>
      </c>
    </row>
    <row r="4408" customFormat="false" ht="15" hidden="false" customHeight="false" outlineLevel="0" collapsed="false">
      <c r="K4408" s="24" t="n">
        <f aca="false">IF(Search!$B$3="",0,IF($A4408="",N(K4407),IF(ISNUMBER(SEARCH(Search!$B$3,$A4408&amp;"")),N(K4407)+1,N(K4407))))</f>
        <v>0</v>
      </c>
    </row>
    <row r="4409" customFormat="false" ht="15" hidden="false" customHeight="false" outlineLevel="0" collapsed="false">
      <c r="K4409" s="24" t="n">
        <f aca="false">IF(Search!$B$3="",0,IF($A4409="",N(K4408),IF(ISNUMBER(SEARCH(Search!$B$3,$A4409&amp;"")),N(K4408)+1,N(K4408))))</f>
        <v>0</v>
      </c>
    </row>
    <row r="4410" customFormat="false" ht="15" hidden="false" customHeight="false" outlineLevel="0" collapsed="false">
      <c r="K4410" s="24" t="n">
        <f aca="false">IF(Search!$B$3="",0,IF($A4410="",N(K4409),IF(ISNUMBER(SEARCH(Search!$B$3,$A4410&amp;"")),N(K4409)+1,N(K4409))))</f>
        <v>0</v>
      </c>
    </row>
    <row r="4411" customFormat="false" ht="15" hidden="false" customHeight="false" outlineLevel="0" collapsed="false">
      <c r="K4411" s="24" t="n">
        <f aca="false">IF(Search!$B$3="",0,IF($A4411="",N(K4410),IF(ISNUMBER(SEARCH(Search!$B$3,$A4411&amp;"")),N(K4410)+1,N(K4410))))</f>
        <v>0</v>
      </c>
    </row>
    <row r="4412" customFormat="false" ht="15" hidden="false" customHeight="false" outlineLevel="0" collapsed="false">
      <c r="K4412" s="24" t="n">
        <f aca="false">IF(Search!$B$3="",0,IF($A4412="",N(K4411),IF(ISNUMBER(SEARCH(Search!$B$3,$A4412&amp;"")),N(K4411)+1,N(K4411))))</f>
        <v>0</v>
      </c>
    </row>
    <row r="4413" customFormat="false" ht="15" hidden="false" customHeight="false" outlineLevel="0" collapsed="false">
      <c r="K4413" s="24" t="n">
        <f aca="false">IF(Search!$B$3="",0,IF($A4413="",N(K4412),IF(ISNUMBER(SEARCH(Search!$B$3,$A4413&amp;"")),N(K4412)+1,N(K4412))))</f>
        <v>0</v>
      </c>
    </row>
    <row r="4414" customFormat="false" ht="15" hidden="false" customHeight="false" outlineLevel="0" collapsed="false">
      <c r="K4414" s="24" t="n">
        <f aca="false">IF(Search!$B$3="",0,IF($A4414="",N(K4413),IF(ISNUMBER(SEARCH(Search!$B$3,$A4414&amp;"")),N(K4413)+1,N(K4413))))</f>
        <v>0</v>
      </c>
    </row>
    <row r="4415" customFormat="false" ht="15" hidden="false" customHeight="false" outlineLevel="0" collapsed="false">
      <c r="K4415" s="24" t="n">
        <f aca="false">IF(Search!$B$3="",0,IF($A4415="",N(K4414),IF(ISNUMBER(SEARCH(Search!$B$3,$A4415&amp;"")),N(K4414)+1,N(K4414))))</f>
        <v>0</v>
      </c>
    </row>
    <row r="4416" customFormat="false" ht="15" hidden="false" customHeight="false" outlineLevel="0" collapsed="false">
      <c r="K4416" s="24" t="n">
        <f aca="false">IF(Search!$B$3="",0,IF($A4416="",N(K4415),IF(ISNUMBER(SEARCH(Search!$B$3,$A4416&amp;"")),N(K4415)+1,N(K4415))))</f>
        <v>0</v>
      </c>
    </row>
    <row r="4417" customFormat="false" ht="15" hidden="false" customHeight="false" outlineLevel="0" collapsed="false">
      <c r="K4417" s="24" t="n">
        <f aca="false">IF(Search!$B$3="",0,IF($A4417="",N(K4416),IF(ISNUMBER(SEARCH(Search!$B$3,$A4417&amp;"")),N(K4416)+1,N(K4416))))</f>
        <v>0</v>
      </c>
    </row>
    <row r="4418" customFormat="false" ht="15" hidden="false" customHeight="false" outlineLevel="0" collapsed="false">
      <c r="K4418" s="24" t="n">
        <f aca="false">IF(Search!$B$3="",0,IF($A4418="",N(K4417),IF(ISNUMBER(SEARCH(Search!$B$3,$A4418&amp;"")),N(K4417)+1,N(K4417))))</f>
        <v>0</v>
      </c>
    </row>
    <row r="4419" customFormat="false" ht="15" hidden="false" customHeight="false" outlineLevel="0" collapsed="false">
      <c r="K4419" s="24" t="n">
        <f aca="false">IF(Search!$B$3="",0,IF($A4419="",N(K4418),IF(ISNUMBER(SEARCH(Search!$B$3,$A4419&amp;"")),N(K4418)+1,N(K4418))))</f>
        <v>0</v>
      </c>
    </row>
    <row r="4420" customFormat="false" ht="15" hidden="false" customHeight="false" outlineLevel="0" collapsed="false">
      <c r="K4420" s="24" t="n">
        <f aca="false">IF(Search!$B$3="",0,IF($A4420="",N(K4419),IF(ISNUMBER(SEARCH(Search!$B$3,$A4420&amp;"")),N(K4419)+1,N(K4419))))</f>
        <v>0</v>
      </c>
    </row>
    <row r="4421" customFormat="false" ht="15" hidden="false" customHeight="false" outlineLevel="0" collapsed="false">
      <c r="K4421" s="24" t="n">
        <f aca="false">IF(Search!$B$3="",0,IF($A4421="",N(K4420),IF(ISNUMBER(SEARCH(Search!$B$3,$A4421&amp;"")),N(K4420)+1,N(K4420))))</f>
        <v>0</v>
      </c>
    </row>
    <row r="4422" customFormat="false" ht="15" hidden="false" customHeight="false" outlineLevel="0" collapsed="false">
      <c r="K4422" s="24" t="n">
        <f aca="false">IF(Search!$B$3="",0,IF($A4422="",N(K4421),IF(ISNUMBER(SEARCH(Search!$B$3,$A4422&amp;"")),N(K4421)+1,N(K4421))))</f>
        <v>0</v>
      </c>
    </row>
    <row r="4423" customFormat="false" ht="15" hidden="false" customHeight="false" outlineLevel="0" collapsed="false">
      <c r="K4423" s="24" t="n">
        <f aca="false">IF(Search!$B$3="",0,IF($A4423="",N(K4422),IF(ISNUMBER(SEARCH(Search!$B$3,$A4423&amp;"")),N(K4422)+1,N(K4422))))</f>
        <v>0</v>
      </c>
    </row>
    <row r="4424" customFormat="false" ht="15" hidden="false" customHeight="false" outlineLevel="0" collapsed="false">
      <c r="K4424" s="24" t="n">
        <f aca="false">IF(Search!$B$3="",0,IF($A4424="",N(K4423),IF(ISNUMBER(SEARCH(Search!$B$3,$A4424&amp;"")),N(K4423)+1,N(K4423))))</f>
        <v>0</v>
      </c>
    </row>
    <row r="4425" customFormat="false" ht="15" hidden="false" customHeight="false" outlineLevel="0" collapsed="false">
      <c r="K4425" s="24" t="n">
        <f aca="false">IF(Search!$B$3="",0,IF($A4425="",N(K4424),IF(ISNUMBER(SEARCH(Search!$B$3,$A4425&amp;"")),N(K4424)+1,N(K4424))))</f>
        <v>0</v>
      </c>
    </row>
    <row r="4426" customFormat="false" ht="15" hidden="false" customHeight="false" outlineLevel="0" collapsed="false">
      <c r="K4426" s="24" t="n">
        <f aca="false">IF(Search!$B$3="",0,IF($A4426="",N(K4425),IF(ISNUMBER(SEARCH(Search!$B$3,$A4426&amp;"")),N(K4425)+1,N(K4425))))</f>
        <v>0</v>
      </c>
    </row>
    <row r="4427" customFormat="false" ht="15" hidden="false" customHeight="false" outlineLevel="0" collapsed="false">
      <c r="K4427" s="24" t="n">
        <f aca="false">IF(Search!$B$3="",0,IF($A4427="",N(K4426),IF(ISNUMBER(SEARCH(Search!$B$3,$A4427&amp;"")),N(K4426)+1,N(K4426))))</f>
        <v>0</v>
      </c>
    </row>
    <row r="4428" customFormat="false" ht="15" hidden="false" customHeight="false" outlineLevel="0" collapsed="false">
      <c r="K4428" s="24" t="n">
        <f aca="false">IF(Search!$B$3="",0,IF($A4428="",N(K4427),IF(ISNUMBER(SEARCH(Search!$B$3,$A4428&amp;"")),N(K4427)+1,N(K4427))))</f>
        <v>0</v>
      </c>
    </row>
    <row r="4429" customFormat="false" ht="15" hidden="false" customHeight="false" outlineLevel="0" collapsed="false">
      <c r="K4429" s="24" t="n">
        <f aca="false">IF(Search!$B$3="",0,IF($A4429="",N(K4428),IF(ISNUMBER(SEARCH(Search!$B$3,$A4429&amp;"")),N(K4428)+1,N(K4428))))</f>
        <v>0</v>
      </c>
    </row>
    <row r="4430" customFormat="false" ht="15" hidden="false" customHeight="false" outlineLevel="0" collapsed="false">
      <c r="K4430" s="24" t="n">
        <f aca="false">IF(Search!$B$3="",0,IF($A4430="",N(K4429),IF(ISNUMBER(SEARCH(Search!$B$3,$A4430&amp;"")),N(K4429)+1,N(K4429))))</f>
        <v>0</v>
      </c>
    </row>
    <row r="4431" customFormat="false" ht="15" hidden="false" customHeight="false" outlineLevel="0" collapsed="false">
      <c r="K4431" s="24" t="n">
        <f aca="false">IF(Search!$B$3="",0,IF($A4431="",N(K4430),IF(ISNUMBER(SEARCH(Search!$B$3,$A4431&amp;"")),N(K4430)+1,N(K4430))))</f>
        <v>0</v>
      </c>
    </row>
    <row r="4432" customFormat="false" ht="15" hidden="false" customHeight="false" outlineLevel="0" collapsed="false">
      <c r="K4432" s="24" t="n">
        <f aca="false">IF(Search!$B$3="",0,IF($A4432="",N(K4431),IF(ISNUMBER(SEARCH(Search!$B$3,$A4432&amp;"")),N(K4431)+1,N(K4431))))</f>
        <v>0</v>
      </c>
    </row>
    <row r="4433" customFormat="false" ht="15" hidden="false" customHeight="false" outlineLevel="0" collapsed="false">
      <c r="K4433" s="24" t="n">
        <f aca="false">IF(Search!$B$3="",0,IF($A4433="",N(K4432),IF(ISNUMBER(SEARCH(Search!$B$3,$A4433&amp;"")),N(K4432)+1,N(K4432))))</f>
        <v>0</v>
      </c>
    </row>
    <row r="4434" customFormat="false" ht="15" hidden="false" customHeight="false" outlineLevel="0" collapsed="false">
      <c r="K4434" s="24" t="n">
        <f aca="false">IF(Search!$B$3="",0,IF($A4434="",N(K4433),IF(ISNUMBER(SEARCH(Search!$B$3,$A4434&amp;"")),N(K4433)+1,N(K4433))))</f>
        <v>0</v>
      </c>
    </row>
    <row r="4435" customFormat="false" ht="15" hidden="false" customHeight="false" outlineLevel="0" collapsed="false">
      <c r="K4435" s="24" t="n">
        <f aca="false">IF(Search!$B$3="",0,IF($A4435="",N(K4434),IF(ISNUMBER(SEARCH(Search!$B$3,$A4435&amp;"")),N(K4434)+1,N(K4434))))</f>
        <v>0</v>
      </c>
    </row>
    <row r="4436" customFormat="false" ht="15" hidden="false" customHeight="false" outlineLevel="0" collapsed="false">
      <c r="K4436" s="24" t="n">
        <f aca="false">IF(Search!$B$3="",0,IF($A4436="",N(K4435),IF(ISNUMBER(SEARCH(Search!$B$3,$A4436&amp;"")),N(K4435)+1,N(K4435))))</f>
        <v>0</v>
      </c>
    </row>
    <row r="4437" customFormat="false" ht="15" hidden="false" customHeight="false" outlineLevel="0" collapsed="false">
      <c r="K4437" s="24" t="n">
        <f aca="false">IF(Search!$B$3="",0,IF($A4437="",N(K4436),IF(ISNUMBER(SEARCH(Search!$B$3,$A4437&amp;"")),N(K4436)+1,N(K4436))))</f>
        <v>0</v>
      </c>
    </row>
    <row r="4438" customFormat="false" ht="15" hidden="false" customHeight="false" outlineLevel="0" collapsed="false">
      <c r="K4438" s="24" t="n">
        <f aca="false">IF(Search!$B$3="",0,IF($A4438="",N(K4437),IF(ISNUMBER(SEARCH(Search!$B$3,$A4438&amp;"")),N(K4437)+1,N(K4437))))</f>
        <v>0</v>
      </c>
    </row>
    <row r="4439" customFormat="false" ht="15" hidden="false" customHeight="false" outlineLevel="0" collapsed="false">
      <c r="K4439" s="24" t="n">
        <f aca="false">IF(Search!$B$3="",0,IF($A4439="",N(K4438),IF(ISNUMBER(SEARCH(Search!$B$3,$A4439&amp;"")),N(K4438)+1,N(K4438))))</f>
        <v>0</v>
      </c>
    </row>
    <row r="4440" customFormat="false" ht="15" hidden="false" customHeight="false" outlineLevel="0" collapsed="false">
      <c r="K4440" s="24" t="n">
        <f aca="false">IF(Search!$B$3="",0,IF($A4440="",N(K4439),IF(ISNUMBER(SEARCH(Search!$B$3,$A4440&amp;"")),N(K4439)+1,N(K4439))))</f>
        <v>0</v>
      </c>
    </row>
    <row r="4441" customFormat="false" ht="15" hidden="false" customHeight="false" outlineLevel="0" collapsed="false">
      <c r="K4441" s="24" t="n">
        <f aca="false">IF(Search!$B$3="",0,IF($A4441="",N(K4440),IF(ISNUMBER(SEARCH(Search!$B$3,$A4441&amp;"")),N(K4440)+1,N(K4440))))</f>
        <v>0</v>
      </c>
    </row>
    <row r="4442" customFormat="false" ht="15" hidden="false" customHeight="false" outlineLevel="0" collapsed="false">
      <c r="K4442" s="24" t="n">
        <f aca="false">IF(Search!$B$3="",0,IF($A4442="",N(K4441),IF(ISNUMBER(SEARCH(Search!$B$3,$A4442&amp;"")),N(K4441)+1,N(K4441))))</f>
        <v>0</v>
      </c>
    </row>
    <row r="4443" customFormat="false" ht="15" hidden="false" customHeight="false" outlineLevel="0" collapsed="false">
      <c r="K4443" s="24" t="n">
        <f aca="false">IF(Search!$B$3="",0,IF($A4443="",N(K4442),IF(ISNUMBER(SEARCH(Search!$B$3,$A4443&amp;"")),N(K4442)+1,N(K4442))))</f>
        <v>0</v>
      </c>
    </row>
    <row r="4444" customFormat="false" ht="15" hidden="false" customHeight="false" outlineLevel="0" collapsed="false">
      <c r="K4444" s="24" t="n">
        <f aca="false">IF(Search!$B$3="",0,IF($A4444="",N(K4443),IF(ISNUMBER(SEARCH(Search!$B$3,$A4444&amp;"")),N(K4443)+1,N(K4443))))</f>
        <v>0</v>
      </c>
    </row>
    <row r="4445" customFormat="false" ht="15" hidden="false" customHeight="false" outlineLevel="0" collapsed="false">
      <c r="K4445" s="24" t="n">
        <f aca="false">IF(Search!$B$3="",0,IF($A4445="",N(K4444),IF(ISNUMBER(SEARCH(Search!$B$3,$A4445&amp;"")),N(K4444)+1,N(K4444))))</f>
        <v>0</v>
      </c>
    </row>
    <row r="4446" customFormat="false" ht="15" hidden="false" customHeight="false" outlineLevel="0" collapsed="false">
      <c r="K4446" s="24" t="n">
        <f aca="false">IF(Search!$B$3="",0,IF($A4446="",N(K4445),IF(ISNUMBER(SEARCH(Search!$B$3,$A4446&amp;"")),N(K4445)+1,N(K4445))))</f>
        <v>0</v>
      </c>
    </row>
    <row r="4447" customFormat="false" ht="15" hidden="false" customHeight="false" outlineLevel="0" collapsed="false">
      <c r="K4447" s="24" t="n">
        <f aca="false">IF(Search!$B$3="",0,IF($A4447="",N(K4446),IF(ISNUMBER(SEARCH(Search!$B$3,$A4447&amp;"")),N(K4446)+1,N(K4446))))</f>
        <v>0</v>
      </c>
    </row>
    <row r="4448" customFormat="false" ht="15" hidden="false" customHeight="false" outlineLevel="0" collapsed="false">
      <c r="K4448" s="24" t="n">
        <f aca="false">IF(Search!$B$3="",0,IF($A4448="",N(K4447),IF(ISNUMBER(SEARCH(Search!$B$3,$A4448&amp;"")),N(K4447)+1,N(K4447))))</f>
        <v>0</v>
      </c>
    </row>
    <row r="4449" customFormat="false" ht="15" hidden="false" customHeight="false" outlineLevel="0" collapsed="false">
      <c r="K4449" s="24" t="n">
        <f aca="false">IF(Search!$B$3="",0,IF($A4449="",N(K4448),IF(ISNUMBER(SEARCH(Search!$B$3,$A4449&amp;"")),N(K4448)+1,N(K4448))))</f>
        <v>0</v>
      </c>
    </row>
    <row r="4450" customFormat="false" ht="15" hidden="false" customHeight="false" outlineLevel="0" collapsed="false">
      <c r="K4450" s="24" t="n">
        <f aca="false">IF(Search!$B$3="",0,IF($A4450="",N(K4449),IF(ISNUMBER(SEARCH(Search!$B$3,$A4450&amp;"")),N(K4449)+1,N(K4449))))</f>
        <v>0</v>
      </c>
    </row>
    <row r="4451" customFormat="false" ht="15" hidden="false" customHeight="false" outlineLevel="0" collapsed="false">
      <c r="K4451" s="24" t="n">
        <f aca="false">IF(Search!$B$3="",0,IF($A4451="",N(K4450),IF(ISNUMBER(SEARCH(Search!$B$3,$A4451&amp;"")),N(K4450)+1,N(K4450))))</f>
        <v>0</v>
      </c>
    </row>
    <row r="4452" customFormat="false" ht="15" hidden="false" customHeight="false" outlineLevel="0" collapsed="false">
      <c r="K4452" s="24" t="n">
        <f aca="false">IF(Search!$B$3="",0,IF($A4452="",N(K4451),IF(ISNUMBER(SEARCH(Search!$B$3,$A4452&amp;"")),N(K4451)+1,N(K4451))))</f>
        <v>0</v>
      </c>
    </row>
    <row r="4453" customFormat="false" ht="15" hidden="false" customHeight="false" outlineLevel="0" collapsed="false">
      <c r="K4453" s="24" t="n">
        <f aca="false">IF(Search!$B$3="",0,IF($A4453="",N(K4452),IF(ISNUMBER(SEARCH(Search!$B$3,$A4453&amp;"")),N(K4452)+1,N(K4452))))</f>
        <v>0</v>
      </c>
    </row>
    <row r="4454" customFormat="false" ht="15" hidden="false" customHeight="false" outlineLevel="0" collapsed="false">
      <c r="K4454" s="24" t="n">
        <f aca="false">IF(Search!$B$3="",0,IF($A4454="",N(K4453),IF(ISNUMBER(SEARCH(Search!$B$3,$A4454&amp;"")),N(K4453)+1,N(K4453))))</f>
        <v>0</v>
      </c>
    </row>
    <row r="4455" customFormat="false" ht="15" hidden="false" customHeight="false" outlineLevel="0" collapsed="false">
      <c r="K4455" s="24" t="n">
        <f aca="false">IF(Search!$B$3="",0,IF($A4455="",N(K4454),IF(ISNUMBER(SEARCH(Search!$B$3,$A4455&amp;"")),N(K4454)+1,N(K4454))))</f>
        <v>0</v>
      </c>
    </row>
    <row r="4456" customFormat="false" ht="15" hidden="false" customHeight="false" outlineLevel="0" collapsed="false">
      <c r="K4456" s="24" t="n">
        <f aca="false">IF(Search!$B$3="",0,IF($A4456="",N(K4455),IF(ISNUMBER(SEARCH(Search!$B$3,$A4456&amp;"")),N(K4455)+1,N(K4455))))</f>
        <v>0</v>
      </c>
    </row>
    <row r="4457" customFormat="false" ht="15" hidden="false" customHeight="false" outlineLevel="0" collapsed="false">
      <c r="K4457" s="24" t="n">
        <f aca="false">IF(Search!$B$3="",0,IF($A4457="",N(K4456),IF(ISNUMBER(SEARCH(Search!$B$3,$A4457&amp;"")),N(K4456)+1,N(K4456))))</f>
        <v>0</v>
      </c>
    </row>
    <row r="4458" customFormat="false" ht="15" hidden="false" customHeight="false" outlineLevel="0" collapsed="false">
      <c r="K4458" s="24" t="n">
        <f aca="false">IF(Search!$B$3="",0,IF($A4458="",N(K4457),IF(ISNUMBER(SEARCH(Search!$B$3,$A4458&amp;"")),N(K4457)+1,N(K4457))))</f>
        <v>0</v>
      </c>
    </row>
    <row r="4459" customFormat="false" ht="15" hidden="false" customHeight="false" outlineLevel="0" collapsed="false">
      <c r="K4459" s="24" t="n">
        <f aca="false">IF(Search!$B$3="",0,IF($A4459="",N(K4458),IF(ISNUMBER(SEARCH(Search!$B$3,$A4459&amp;"")),N(K4458)+1,N(K4458))))</f>
        <v>0</v>
      </c>
    </row>
    <row r="4460" customFormat="false" ht="15" hidden="false" customHeight="false" outlineLevel="0" collapsed="false">
      <c r="K4460" s="24" t="n">
        <f aca="false">IF(Search!$B$3="",0,IF($A4460="",N(K4459),IF(ISNUMBER(SEARCH(Search!$B$3,$A4460&amp;"")),N(K4459)+1,N(K4459))))</f>
        <v>0</v>
      </c>
    </row>
    <row r="4461" customFormat="false" ht="15" hidden="false" customHeight="false" outlineLevel="0" collapsed="false">
      <c r="K4461" s="24" t="n">
        <f aca="false">IF(Search!$B$3="",0,IF($A4461="",N(K4460),IF(ISNUMBER(SEARCH(Search!$B$3,$A4461&amp;"")),N(K4460)+1,N(K4460))))</f>
        <v>0</v>
      </c>
    </row>
    <row r="4462" customFormat="false" ht="15" hidden="false" customHeight="false" outlineLevel="0" collapsed="false">
      <c r="K4462" s="24" t="n">
        <f aca="false">IF(Search!$B$3="",0,IF($A4462="",N(K4461),IF(ISNUMBER(SEARCH(Search!$B$3,$A4462&amp;"")),N(K4461)+1,N(K4461))))</f>
        <v>0</v>
      </c>
    </row>
    <row r="4463" customFormat="false" ht="15" hidden="false" customHeight="false" outlineLevel="0" collapsed="false">
      <c r="K4463" s="24" t="n">
        <f aca="false">IF(Search!$B$3="",0,IF($A4463="",N(K4462),IF(ISNUMBER(SEARCH(Search!$B$3,$A4463&amp;"")),N(K4462)+1,N(K4462))))</f>
        <v>0</v>
      </c>
    </row>
    <row r="4464" customFormat="false" ht="15" hidden="false" customHeight="false" outlineLevel="0" collapsed="false">
      <c r="K4464" s="24" t="n">
        <f aca="false">IF(Search!$B$3="",0,IF($A4464="",N(K4463),IF(ISNUMBER(SEARCH(Search!$B$3,$A4464&amp;"")),N(K4463)+1,N(K4463))))</f>
        <v>0</v>
      </c>
    </row>
    <row r="4465" customFormat="false" ht="15" hidden="false" customHeight="false" outlineLevel="0" collapsed="false">
      <c r="K4465" s="24" t="n">
        <f aca="false">IF(Search!$B$3="",0,IF($A4465="",N(K4464),IF(ISNUMBER(SEARCH(Search!$B$3,$A4465&amp;"")),N(K4464)+1,N(K4464))))</f>
        <v>0</v>
      </c>
    </row>
    <row r="4466" customFormat="false" ht="15" hidden="false" customHeight="false" outlineLevel="0" collapsed="false">
      <c r="K4466" s="24" t="n">
        <f aca="false">IF(Search!$B$3="",0,IF($A4466="",N(K4465),IF(ISNUMBER(SEARCH(Search!$B$3,$A4466&amp;"")),N(K4465)+1,N(K4465))))</f>
        <v>0</v>
      </c>
    </row>
    <row r="4467" customFormat="false" ht="15" hidden="false" customHeight="false" outlineLevel="0" collapsed="false">
      <c r="K4467" s="24" t="n">
        <f aca="false">IF(Search!$B$3="",0,IF($A4467="",N(K4466),IF(ISNUMBER(SEARCH(Search!$B$3,$A4467&amp;"")),N(K4466)+1,N(K4466))))</f>
        <v>0</v>
      </c>
    </row>
    <row r="4468" customFormat="false" ht="15" hidden="false" customHeight="false" outlineLevel="0" collapsed="false">
      <c r="K4468" s="24" t="n">
        <f aca="false">IF(Search!$B$3="",0,IF($A4468="",N(K4467),IF(ISNUMBER(SEARCH(Search!$B$3,$A4468&amp;"")),N(K4467)+1,N(K4467))))</f>
        <v>0</v>
      </c>
    </row>
    <row r="4469" customFormat="false" ht="15" hidden="false" customHeight="false" outlineLevel="0" collapsed="false">
      <c r="K4469" s="24" t="n">
        <f aca="false">IF(Search!$B$3="",0,IF($A4469="",N(K4468),IF(ISNUMBER(SEARCH(Search!$B$3,$A4469&amp;"")),N(K4468)+1,N(K4468))))</f>
        <v>0</v>
      </c>
    </row>
    <row r="4470" customFormat="false" ht="15" hidden="false" customHeight="false" outlineLevel="0" collapsed="false">
      <c r="K4470" s="24" t="n">
        <f aca="false">IF(Search!$B$3="",0,IF($A4470="",N(K4469),IF(ISNUMBER(SEARCH(Search!$B$3,$A4470&amp;"")),N(K4469)+1,N(K4469))))</f>
        <v>0</v>
      </c>
    </row>
    <row r="4471" customFormat="false" ht="15" hidden="false" customHeight="false" outlineLevel="0" collapsed="false">
      <c r="K4471" s="24" t="n">
        <f aca="false">IF(Search!$B$3="",0,IF($A4471="",N(K4470),IF(ISNUMBER(SEARCH(Search!$B$3,$A4471&amp;"")),N(K4470)+1,N(K4470))))</f>
        <v>0</v>
      </c>
    </row>
    <row r="4472" customFormat="false" ht="15" hidden="false" customHeight="false" outlineLevel="0" collapsed="false">
      <c r="K4472" s="24" t="n">
        <f aca="false">IF(Search!$B$3="",0,IF($A4472="",N(K4471),IF(ISNUMBER(SEARCH(Search!$B$3,$A4472&amp;"")),N(K4471)+1,N(K4471))))</f>
        <v>0</v>
      </c>
    </row>
    <row r="4473" customFormat="false" ht="15" hidden="false" customHeight="false" outlineLevel="0" collapsed="false">
      <c r="K4473" s="24" t="n">
        <f aca="false">IF(Search!$B$3="",0,IF($A4473="",N(K4472),IF(ISNUMBER(SEARCH(Search!$B$3,$A4473&amp;"")),N(K4472)+1,N(K4472))))</f>
        <v>0</v>
      </c>
    </row>
    <row r="4474" customFormat="false" ht="15" hidden="false" customHeight="false" outlineLevel="0" collapsed="false">
      <c r="K4474" s="24" t="n">
        <f aca="false">IF(Search!$B$3="",0,IF($A4474="",N(K4473),IF(ISNUMBER(SEARCH(Search!$B$3,$A4474&amp;"")),N(K4473)+1,N(K4473))))</f>
        <v>0</v>
      </c>
    </row>
    <row r="4475" customFormat="false" ht="15" hidden="false" customHeight="false" outlineLevel="0" collapsed="false">
      <c r="K4475" s="24" t="n">
        <f aca="false">IF(Search!$B$3="",0,IF($A4475="",N(K4474),IF(ISNUMBER(SEARCH(Search!$B$3,$A4475&amp;"")),N(K4474)+1,N(K4474))))</f>
        <v>0</v>
      </c>
    </row>
    <row r="4476" customFormat="false" ht="15" hidden="false" customHeight="false" outlineLevel="0" collapsed="false">
      <c r="K4476" s="24" t="n">
        <f aca="false">IF(Search!$B$3="",0,IF($A4476="",N(K4475),IF(ISNUMBER(SEARCH(Search!$B$3,$A4476&amp;"")),N(K4475)+1,N(K4475))))</f>
        <v>0</v>
      </c>
    </row>
    <row r="4477" customFormat="false" ht="15" hidden="false" customHeight="false" outlineLevel="0" collapsed="false">
      <c r="K4477" s="24" t="n">
        <f aca="false">IF(Search!$B$3="",0,IF($A4477="",N(K4476),IF(ISNUMBER(SEARCH(Search!$B$3,$A4477&amp;"")),N(K4476)+1,N(K4476))))</f>
        <v>0</v>
      </c>
    </row>
    <row r="4478" customFormat="false" ht="15" hidden="false" customHeight="false" outlineLevel="0" collapsed="false">
      <c r="K4478" s="24" t="n">
        <f aca="false">IF(Search!$B$3="",0,IF($A4478="",N(K4477),IF(ISNUMBER(SEARCH(Search!$B$3,$A4478&amp;"")),N(K4477)+1,N(K4477))))</f>
        <v>0</v>
      </c>
    </row>
    <row r="4479" customFormat="false" ht="15" hidden="false" customHeight="false" outlineLevel="0" collapsed="false">
      <c r="K4479" s="24" t="n">
        <f aca="false">IF(Search!$B$3="",0,IF($A4479="",N(K4478),IF(ISNUMBER(SEARCH(Search!$B$3,$A4479&amp;"")),N(K4478)+1,N(K4478))))</f>
        <v>0</v>
      </c>
    </row>
    <row r="4480" customFormat="false" ht="15" hidden="false" customHeight="false" outlineLevel="0" collapsed="false">
      <c r="K4480" s="24" t="n">
        <f aca="false">IF(Search!$B$3="",0,IF($A4480="",N(K4479),IF(ISNUMBER(SEARCH(Search!$B$3,$A4480&amp;"")),N(K4479)+1,N(K4479))))</f>
        <v>0</v>
      </c>
    </row>
    <row r="4481" customFormat="false" ht="15" hidden="false" customHeight="false" outlineLevel="0" collapsed="false">
      <c r="K4481" s="24" t="n">
        <f aca="false">IF(Search!$B$3="",0,IF($A4481="",N(K4480),IF(ISNUMBER(SEARCH(Search!$B$3,$A4481&amp;"")),N(K4480)+1,N(K4480))))</f>
        <v>0</v>
      </c>
    </row>
    <row r="4482" customFormat="false" ht="15" hidden="false" customHeight="false" outlineLevel="0" collapsed="false">
      <c r="K4482" s="24" t="n">
        <f aca="false">IF(Search!$B$3="",0,IF($A4482="",N(K4481),IF(ISNUMBER(SEARCH(Search!$B$3,$A4482&amp;"")),N(K4481)+1,N(K4481))))</f>
        <v>0</v>
      </c>
    </row>
    <row r="4483" customFormat="false" ht="15" hidden="false" customHeight="false" outlineLevel="0" collapsed="false">
      <c r="K4483" s="24" t="n">
        <f aca="false">IF(Search!$B$3="",0,IF($A4483="",N(K4482),IF(ISNUMBER(SEARCH(Search!$B$3,$A4483&amp;"")),N(K4482)+1,N(K4482))))</f>
        <v>0</v>
      </c>
    </row>
    <row r="4484" customFormat="false" ht="15" hidden="false" customHeight="false" outlineLevel="0" collapsed="false">
      <c r="K4484" s="24" t="n">
        <f aca="false">IF(Search!$B$3="",0,IF($A4484="",N(K4483),IF(ISNUMBER(SEARCH(Search!$B$3,$A4484&amp;"")),N(K4483)+1,N(K4483))))</f>
        <v>0</v>
      </c>
    </row>
    <row r="4485" customFormat="false" ht="15" hidden="false" customHeight="false" outlineLevel="0" collapsed="false">
      <c r="K4485" s="24" t="n">
        <f aca="false">IF(Search!$B$3="",0,IF($A4485="",N(K4484),IF(ISNUMBER(SEARCH(Search!$B$3,$A4485&amp;"")),N(K4484)+1,N(K4484))))</f>
        <v>0</v>
      </c>
    </row>
    <row r="4486" customFormat="false" ht="15" hidden="false" customHeight="false" outlineLevel="0" collapsed="false">
      <c r="K4486" s="24" t="n">
        <f aca="false">IF(Search!$B$3="",0,IF($A4486="",N(K4485),IF(ISNUMBER(SEARCH(Search!$B$3,$A4486&amp;"")),N(K4485)+1,N(K4485))))</f>
        <v>0</v>
      </c>
    </row>
    <row r="4487" customFormat="false" ht="15" hidden="false" customHeight="false" outlineLevel="0" collapsed="false">
      <c r="K4487" s="24" t="n">
        <f aca="false">IF(Search!$B$3="",0,IF($A4487="",N(K4486),IF(ISNUMBER(SEARCH(Search!$B$3,$A4487&amp;"")),N(K4486)+1,N(K4486))))</f>
        <v>0</v>
      </c>
    </row>
    <row r="4488" customFormat="false" ht="15" hidden="false" customHeight="false" outlineLevel="0" collapsed="false">
      <c r="K4488" s="24" t="n">
        <f aca="false">IF(Search!$B$3="",0,IF($A4488="",N(K4487),IF(ISNUMBER(SEARCH(Search!$B$3,$A4488&amp;"")),N(K4487)+1,N(K4487))))</f>
        <v>0</v>
      </c>
    </row>
    <row r="4489" customFormat="false" ht="15" hidden="false" customHeight="false" outlineLevel="0" collapsed="false">
      <c r="K4489" s="24" t="n">
        <f aca="false">IF(Search!$B$3="",0,IF($A4489="",N(K4488),IF(ISNUMBER(SEARCH(Search!$B$3,$A4489&amp;"")),N(K4488)+1,N(K4488))))</f>
        <v>0</v>
      </c>
    </row>
    <row r="4490" customFormat="false" ht="15" hidden="false" customHeight="false" outlineLevel="0" collapsed="false">
      <c r="K4490" s="24" t="n">
        <f aca="false">IF(Search!$B$3="",0,IF($A4490="",N(K4489),IF(ISNUMBER(SEARCH(Search!$B$3,$A4490&amp;"")),N(K4489)+1,N(K4489))))</f>
        <v>0</v>
      </c>
    </row>
    <row r="4491" customFormat="false" ht="15" hidden="false" customHeight="false" outlineLevel="0" collapsed="false">
      <c r="K4491" s="24" t="n">
        <f aca="false">IF(Search!$B$3="",0,IF($A4491="",N(K4490),IF(ISNUMBER(SEARCH(Search!$B$3,$A4491&amp;"")),N(K4490)+1,N(K4490))))</f>
        <v>0</v>
      </c>
    </row>
    <row r="4492" customFormat="false" ht="15" hidden="false" customHeight="false" outlineLevel="0" collapsed="false">
      <c r="K4492" s="24" t="n">
        <f aca="false">IF(Search!$B$3="",0,IF($A4492="",N(K4491),IF(ISNUMBER(SEARCH(Search!$B$3,$A4492&amp;"")),N(K4491)+1,N(K4491))))</f>
        <v>0</v>
      </c>
    </row>
    <row r="4493" customFormat="false" ht="15" hidden="false" customHeight="false" outlineLevel="0" collapsed="false">
      <c r="K4493" s="24" t="n">
        <f aca="false">IF(Search!$B$3="",0,IF($A4493="",N(K4492),IF(ISNUMBER(SEARCH(Search!$B$3,$A4493&amp;"")),N(K4492)+1,N(K4492))))</f>
        <v>0</v>
      </c>
    </row>
    <row r="4494" customFormat="false" ht="15" hidden="false" customHeight="false" outlineLevel="0" collapsed="false">
      <c r="K4494" s="24" t="n">
        <f aca="false">IF(Search!$B$3="",0,IF($A4494="",N(K4493),IF(ISNUMBER(SEARCH(Search!$B$3,$A4494&amp;"")),N(K4493)+1,N(K4493))))</f>
        <v>0</v>
      </c>
    </row>
    <row r="4495" customFormat="false" ht="15" hidden="false" customHeight="false" outlineLevel="0" collapsed="false">
      <c r="K4495" s="24" t="n">
        <f aca="false">IF(Search!$B$3="",0,IF($A4495="",N(K4494),IF(ISNUMBER(SEARCH(Search!$B$3,$A4495&amp;"")),N(K4494)+1,N(K4494))))</f>
        <v>0</v>
      </c>
    </row>
    <row r="4496" customFormat="false" ht="15" hidden="false" customHeight="false" outlineLevel="0" collapsed="false">
      <c r="K4496" s="24" t="n">
        <f aca="false">IF(Search!$B$3="",0,IF($A4496="",N(K4495),IF(ISNUMBER(SEARCH(Search!$B$3,$A4496&amp;"")),N(K4495)+1,N(K4495))))</f>
        <v>0</v>
      </c>
    </row>
    <row r="4497" customFormat="false" ht="15" hidden="false" customHeight="false" outlineLevel="0" collapsed="false">
      <c r="K4497" s="24" t="n">
        <f aca="false">IF(Search!$B$3="",0,IF($A4497="",N(K4496),IF(ISNUMBER(SEARCH(Search!$B$3,$A4497&amp;"")),N(K4496)+1,N(K4496))))</f>
        <v>0</v>
      </c>
    </row>
    <row r="4498" customFormat="false" ht="15" hidden="false" customHeight="false" outlineLevel="0" collapsed="false">
      <c r="K4498" s="24" t="n">
        <f aca="false">IF(Search!$B$3="",0,IF($A4498="",N(K4497),IF(ISNUMBER(SEARCH(Search!$B$3,$A4498&amp;"")),N(K4497)+1,N(K4497))))</f>
        <v>0</v>
      </c>
    </row>
    <row r="4499" customFormat="false" ht="15" hidden="false" customHeight="false" outlineLevel="0" collapsed="false">
      <c r="K4499" s="24" t="n">
        <f aca="false">IF(Search!$B$3="",0,IF($A4499="",N(K4498),IF(ISNUMBER(SEARCH(Search!$B$3,$A4499&amp;"")),N(K4498)+1,N(K4498))))</f>
        <v>0</v>
      </c>
    </row>
    <row r="4500" customFormat="false" ht="15" hidden="false" customHeight="false" outlineLevel="0" collapsed="false">
      <c r="K4500" s="24" t="n">
        <f aca="false">IF(Search!$B$3="",0,IF($A4500="",N(K4499),IF(ISNUMBER(SEARCH(Search!$B$3,$A4500&amp;"")),N(K4499)+1,N(K4499))))</f>
        <v>0</v>
      </c>
    </row>
    <row r="4501" customFormat="false" ht="15" hidden="false" customHeight="false" outlineLevel="0" collapsed="false">
      <c r="K4501" s="24" t="n">
        <f aca="false">IF(Search!$B$3="",0,IF($A4501="",N(K4500),IF(ISNUMBER(SEARCH(Search!$B$3,$A4501&amp;"")),N(K4500)+1,N(K4500))))</f>
        <v>0</v>
      </c>
    </row>
    <row r="4502" customFormat="false" ht="15" hidden="false" customHeight="false" outlineLevel="0" collapsed="false">
      <c r="K4502" s="24" t="n">
        <f aca="false">IF(Search!$B$3="",0,IF($A4502="",N(K4501),IF(ISNUMBER(SEARCH(Search!$B$3,$A4502&amp;"")),N(K4501)+1,N(K4501))))</f>
        <v>0</v>
      </c>
    </row>
    <row r="4503" customFormat="false" ht="15" hidden="false" customHeight="false" outlineLevel="0" collapsed="false">
      <c r="K4503" s="24" t="n">
        <f aca="false">IF(Search!$B$3="",0,IF($A4503="",N(K4502),IF(ISNUMBER(SEARCH(Search!$B$3,$A4503&amp;"")),N(K4502)+1,N(K4502))))</f>
        <v>0</v>
      </c>
    </row>
    <row r="4504" customFormat="false" ht="15" hidden="false" customHeight="false" outlineLevel="0" collapsed="false">
      <c r="K4504" s="24" t="n">
        <f aca="false">IF(Search!$B$3="",0,IF($A4504="",N(K4503),IF(ISNUMBER(SEARCH(Search!$B$3,$A4504&amp;"")),N(K4503)+1,N(K4503))))</f>
        <v>0</v>
      </c>
    </row>
    <row r="4505" customFormat="false" ht="15" hidden="false" customHeight="false" outlineLevel="0" collapsed="false">
      <c r="K4505" s="24" t="n">
        <f aca="false">IF(Search!$B$3="",0,IF($A4505="",N(K4504),IF(ISNUMBER(SEARCH(Search!$B$3,$A4505&amp;"")),N(K4504)+1,N(K4504))))</f>
        <v>0</v>
      </c>
    </row>
    <row r="4506" customFormat="false" ht="15" hidden="false" customHeight="false" outlineLevel="0" collapsed="false">
      <c r="K4506" s="24" t="n">
        <f aca="false">IF(Search!$B$3="",0,IF($A4506="",N(K4505),IF(ISNUMBER(SEARCH(Search!$B$3,$A4506&amp;"")),N(K4505)+1,N(K4505))))</f>
        <v>0</v>
      </c>
    </row>
    <row r="4507" customFormat="false" ht="15" hidden="false" customHeight="false" outlineLevel="0" collapsed="false">
      <c r="K4507" s="24" t="n">
        <f aca="false">IF(Search!$B$3="",0,IF($A4507="",N(K4506),IF(ISNUMBER(SEARCH(Search!$B$3,$A4507&amp;"")),N(K4506)+1,N(K4506))))</f>
        <v>0</v>
      </c>
    </row>
    <row r="4508" customFormat="false" ht="15" hidden="false" customHeight="false" outlineLevel="0" collapsed="false">
      <c r="K4508" s="24" t="n">
        <f aca="false">IF(Search!$B$3="",0,IF($A4508="",N(K4507),IF(ISNUMBER(SEARCH(Search!$B$3,$A4508&amp;"")),N(K4507)+1,N(K4507))))</f>
        <v>0</v>
      </c>
    </row>
    <row r="4509" customFormat="false" ht="15" hidden="false" customHeight="false" outlineLevel="0" collapsed="false">
      <c r="K4509" s="24" t="n">
        <f aca="false">IF(Search!$B$3="",0,IF($A4509="",N(K4508),IF(ISNUMBER(SEARCH(Search!$B$3,$A4509&amp;"")),N(K4508)+1,N(K4508))))</f>
        <v>0</v>
      </c>
    </row>
    <row r="4510" customFormat="false" ht="15" hidden="false" customHeight="false" outlineLevel="0" collapsed="false">
      <c r="K4510" s="24" t="n">
        <f aca="false">IF(Search!$B$3="",0,IF($A4510="",N(K4509),IF(ISNUMBER(SEARCH(Search!$B$3,$A4510&amp;"")),N(K4509)+1,N(K4509))))</f>
        <v>0</v>
      </c>
    </row>
    <row r="4511" customFormat="false" ht="15" hidden="false" customHeight="false" outlineLevel="0" collapsed="false">
      <c r="K4511" s="24" t="n">
        <f aca="false">IF(Search!$B$3="",0,IF($A4511="",N(K4510),IF(ISNUMBER(SEARCH(Search!$B$3,$A4511&amp;"")),N(K4510)+1,N(K4510))))</f>
        <v>0</v>
      </c>
    </row>
    <row r="4512" customFormat="false" ht="15" hidden="false" customHeight="false" outlineLevel="0" collapsed="false">
      <c r="K4512" s="24" t="n">
        <f aca="false">IF(Search!$B$3="",0,IF($A4512="",N(K4511),IF(ISNUMBER(SEARCH(Search!$B$3,$A4512&amp;"")),N(K4511)+1,N(K4511))))</f>
        <v>0</v>
      </c>
    </row>
    <row r="4513" customFormat="false" ht="15" hidden="false" customHeight="false" outlineLevel="0" collapsed="false">
      <c r="K4513" s="24" t="n">
        <f aca="false">IF(Search!$B$3="",0,IF($A4513="",N(K4512),IF(ISNUMBER(SEARCH(Search!$B$3,$A4513&amp;"")),N(K4512)+1,N(K4512))))</f>
        <v>0</v>
      </c>
    </row>
    <row r="4514" customFormat="false" ht="15" hidden="false" customHeight="false" outlineLevel="0" collapsed="false">
      <c r="K4514" s="24" t="n">
        <f aca="false">IF(Search!$B$3="",0,IF($A4514="",N(K4513),IF(ISNUMBER(SEARCH(Search!$B$3,$A4514&amp;"")),N(K4513)+1,N(K4513))))</f>
        <v>0</v>
      </c>
    </row>
    <row r="4515" customFormat="false" ht="15" hidden="false" customHeight="false" outlineLevel="0" collapsed="false">
      <c r="K4515" s="24" t="n">
        <f aca="false">IF(Search!$B$3="",0,IF($A4515="",N(K4514),IF(ISNUMBER(SEARCH(Search!$B$3,$A4515&amp;"")),N(K4514)+1,N(K4514))))</f>
        <v>0</v>
      </c>
    </row>
    <row r="4516" customFormat="false" ht="15" hidden="false" customHeight="false" outlineLevel="0" collapsed="false">
      <c r="K4516" s="24" t="n">
        <f aca="false">IF(Search!$B$3="",0,IF($A4516="",N(K4515),IF(ISNUMBER(SEARCH(Search!$B$3,$A4516&amp;"")),N(K4515)+1,N(K4515))))</f>
        <v>0</v>
      </c>
    </row>
    <row r="4517" customFormat="false" ht="15" hidden="false" customHeight="false" outlineLevel="0" collapsed="false">
      <c r="K4517" s="24" t="n">
        <f aca="false">IF(Search!$B$3="",0,IF($A4517="",N(K4516),IF(ISNUMBER(SEARCH(Search!$B$3,$A4517&amp;"")),N(K4516)+1,N(K4516))))</f>
        <v>0</v>
      </c>
    </row>
    <row r="4518" customFormat="false" ht="15" hidden="false" customHeight="false" outlineLevel="0" collapsed="false">
      <c r="K4518" s="24" t="n">
        <f aca="false">IF(Search!$B$3="",0,IF($A4518="",N(K4517),IF(ISNUMBER(SEARCH(Search!$B$3,$A4518&amp;"")),N(K4517)+1,N(K4517))))</f>
        <v>0</v>
      </c>
    </row>
    <row r="4519" customFormat="false" ht="15" hidden="false" customHeight="false" outlineLevel="0" collapsed="false">
      <c r="K4519" s="24" t="n">
        <f aca="false">IF(Search!$B$3="",0,IF($A4519="",N(K4518),IF(ISNUMBER(SEARCH(Search!$B$3,$A4519&amp;"")),N(K4518)+1,N(K4518))))</f>
        <v>0</v>
      </c>
    </row>
    <row r="4520" customFormat="false" ht="15" hidden="false" customHeight="false" outlineLevel="0" collapsed="false">
      <c r="K4520" s="24" t="n">
        <f aca="false">IF(Search!$B$3="",0,IF($A4520="",N(K4519),IF(ISNUMBER(SEARCH(Search!$B$3,$A4520&amp;"")),N(K4519)+1,N(K4519))))</f>
        <v>0</v>
      </c>
    </row>
    <row r="4521" customFormat="false" ht="15" hidden="false" customHeight="false" outlineLevel="0" collapsed="false">
      <c r="K4521" s="24" t="n">
        <f aca="false">IF(Search!$B$3="",0,IF($A4521="",N(K4520),IF(ISNUMBER(SEARCH(Search!$B$3,$A4521&amp;"")),N(K4520)+1,N(K4520))))</f>
        <v>0</v>
      </c>
    </row>
    <row r="4522" customFormat="false" ht="15" hidden="false" customHeight="false" outlineLevel="0" collapsed="false">
      <c r="K4522" s="24" t="n">
        <f aca="false">IF(Search!$B$3="",0,IF($A4522="",N(K4521),IF(ISNUMBER(SEARCH(Search!$B$3,$A4522&amp;"")),N(K4521)+1,N(K4521))))</f>
        <v>0</v>
      </c>
    </row>
    <row r="4523" customFormat="false" ht="15" hidden="false" customHeight="false" outlineLevel="0" collapsed="false">
      <c r="K4523" s="24" t="n">
        <f aca="false">IF(Search!$B$3="",0,IF($A4523="",N(K4522),IF(ISNUMBER(SEARCH(Search!$B$3,$A4523&amp;"")),N(K4522)+1,N(K4522))))</f>
        <v>0</v>
      </c>
    </row>
    <row r="4524" customFormat="false" ht="15" hidden="false" customHeight="false" outlineLevel="0" collapsed="false">
      <c r="K4524" s="24" t="n">
        <f aca="false">IF(Search!$B$3="",0,IF($A4524="",N(K4523),IF(ISNUMBER(SEARCH(Search!$B$3,$A4524&amp;"")),N(K4523)+1,N(K4523))))</f>
        <v>0</v>
      </c>
    </row>
    <row r="4525" customFormat="false" ht="15" hidden="false" customHeight="false" outlineLevel="0" collapsed="false">
      <c r="K4525" s="24" t="n">
        <f aca="false">IF(Search!$B$3="",0,IF($A4525="",N(K4524),IF(ISNUMBER(SEARCH(Search!$B$3,$A4525&amp;"")),N(K4524)+1,N(K4524))))</f>
        <v>0</v>
      </c>
    </row>
    <row r="4526" customFormat="false" ht="15" hidden="false" customHeight="false" outlineLevel="0" collapsed="false">
      <c r="K4526" s="24" t="n">
        <f aca="false">IF(Search!$B$3="",0,IF($A4526="",N(K4525),IF(ISNUMBER(SEARCH(Search!$B$3,$A4526&amp;"")),N(K4525)+1,N(K4525))))</f>
        <v>0</v>
      </c>
    </row>
    <row r="4527" customFormat="false" ht="15" hidden="false" customHeight="false" outlineLevel="0" collapsed="false">
      <c r="K4527" s="24" t="n">
        <f aca="false">IF(Search!$B$3="",0,IF($A4527="",N(K4526),IF(ISNUMBER(SEARCH(Search!$B$3,$A4527&amp;"")),N(K4526)+1,N(K4526))))</f>
        <v>0</v>
      </c>
    </row>
    <row r="4528" customFormat="false" ht="15" hidden="false" customHeight="false" outlineLevel="0" collapsed="false">
      <c r="K4528" s="24" t="n">
        <f aca="false">IF(Search!$B$3="",0,IF($A4528="",N(K4527),IF(ISNUMBER(SEARCH(Search!$B$3,$A4528&amp;"")),N(K4527)+1,N(K4527))))</f>
        <v>0</v>
      </c>
    </row>
    <row r="4529" customFormat="false" ht="15" hidden="false" customHeight="false" outlineLevel="0" collapsed="false">
      <c r="K4529" s="24" t="n">
        <f aca="false">IF(Search!$B$3="",0,IF($A4529="",N(K4528),IF(ISNUMBER(SEARCH(Search!$B$3,$A4529&amp;"")),N(K4528)+1,N(K4528))))</f>
        <v>0</v>
      </c>
    </row>
    <row r="4530" customFormat="false" ht="15" hidden="false" customHeight="false" outlineLevel="0" collapsed="false">
      <c r="K4530" s="24" t="n">
        <f aca="false">IF(Search!$B$3="",0,IF($A4530="",N(K4529),IF(ISNUMBER(SEARCH(Search!$B$3,$A4530&amp;"")),N(K4529)+1,N(K4529))))</f>
        <v>0</v>
      </c>
    </row>
    <row r="4531" customFormat="false" ht="15" hidden="false" customHeight="false" outlineLevel="0" collapsed="false">
      <c r="K4531" s="24" t="n">
        <f aca="false">IF(Search!$B$3="",0,IF($A4531="",N(K4530),IF(ISNUMBER(SEARCH(Search!$B$3,$A4531&amp;"")),N(K4530)+1,N(K4530))))</f>
        <v>0</v>
      </c>
    </row>
    <row r="4532" customFormat="false" ht="15" hidden="false" customHeight="false" outlineLevel="0" collapsed="false">
      <c r="K4532" s="24" t="n">
        <f aca="false">IF(Search!$B$3="",0,IF($A4532="",N(K4531),IF(ISNUMBER(SEARCH(Search!$B$3,$A4532&amp;"")),N(K4531)+1,N(K4531))))</f>
        <v>0</v>
      </c>
    </row>
    <row r="4533" customFormat="false" ht="15" hidden="false" customHeight="false" outlineLevel="0" collapsed="false">
      <c r="K4533" s="24" t="n">
        <f aca="false">IF(Search!$B$3="",0,IF($A4533="",N(K4532),IF(ISNUMBER(SEARCH(Search!$B$3,$A4533&amp;"")),N(K4532)+1,N(K4532))))</f>
        <v>0</v>
      </c>
    </row>
    <row r="4534" customFormat="false" ht="15" hidden="false" customHeight="false" outlineLevel="0" collapsed="false">
      <c r="K4534" s="24" t="n">
        <f aca="false">IF(Search!$B$3="",0,IF($A4534="",N(K4533),IF(ISNUMBER(SEARCH(Search!$B$3,$A4534&amp;"")),N(K4533)+1,N(K4533))))</f>
        <v>0</v>
      </c>
    </row>
    <row r="4535" customFormat="false" ht="15" hidden="false" customHeight="false" outlineLevel="0" collapsed="false">
      <c r="K4535" s="24" t="n">
        <f aca="false">IF(Search!$B$3="",0,IF($A4535="",N(K4534),IF(ISNUMBER(SEARCH(Search!$B$3,$A4535&amp;"")),N(K4534)+1,N(K4534))))</f>
        <v>0</v>
      </c>
    </row>
    <row r="4536" customFormat="false" ht="15" hidden="false" customHeight="false" outlineLevel="0" collapsed="false">
      <c r="K4536" s="24" t="n">
        <f aca="false">IF(Search!$B$3="",0,IF($A4536="",N(K4535),IF(ISNUMBER(SEARCH(Search!$B$3,$A4536&amp;"")),N(K4535)+1,N(K4535))))</f>
        <v>0</v>
      </c>
    </row>
    <row r="4537" customFormat="false" ht="15" hidden="false" customHeight="false" outlineLevel="0" collapsed="false">
      <c r="K4537" s="24" t="n">
        <f aca="false">IF(Search!$B$3="",0,IF($A4537="",N(K4536),IF(ISNUMBER(SEARCH(Search!$B$3,$A4537&amp;"")),N(K4536)+1,N(K4536))))</f>
        <v>0</v>
      </c>
    </row>
    <row r="4538" customFormat="false" ht="15" hidden="false" customHeight="false" outlineLevel="0" collapsed="false">
      <c r="K4538" s="24" t="n">
        <f aca="false">IF(Search!$B$3="",0,IF($A4538="",N(K4537),IF(ISNUMBER(SEARCH(Search!$B$3,$A4538&amp;"")),N(K4537)+1,N(K4537))))</f>
        <v>0</v>
      </c>
    </row>
    <row r="4539" customFormat="false" ht="15" hidden="false" customHeight="false" outlineLevel="0" collapsed="false">
      <c r="K4539" s="24" t="n">
        <f aca="false">IF(Search!$B$3="",0,IF($A4539="",N(K4538),IF(ISNUMBER(SEARCH(Search!$B$3,$A4539&amp;"")),N(K4538)+1,N(K4538))))</f>
        <v>0</v>
      </c>
    </row>
    <row r="4540" customFormat="false" ht="15" hidden="false" customHeight="false" outlineLevel="0" collapsed="false">
      <c r="K4540" s="24" t="n">
        <f aca="false">IF(Search!$B$3="",0,IF($A4540="",N(K4539),IF(ISNUMBER(SEARCH(Search!$B$3,$A4540&amp;"")),N(K4539)+1,N(K4539))))</f>
        <v>0</v>
      </c>
    </row>
    <row r="4541" customFormat="false" ht="15" hidden="false" customHeight="false" outlineLevel="0" collapsed="false">
      <c r="K4541" s="24" t="n">
        <f aca="false">IF(Search!$B$3="",0,IF($A4541="",N(K4540),IF(ISNUMBER(SEARCH(Search!$B$3,$A4541&amp;"")),N(K4540)+1,N(K4540))))</f>
        <v>0</v>
      </c>
    </row>
    <row r="4542" customFormat="false" ht="15" hidden="false" customHeight="false" outlineLevel="0" collapsed="false">
      <c r="K4542" s="24" t="n">
        <f aca="false">IF(Search!$B$3="",0,IF($A4542="",N(K4541),IF(ISNUMBER(SEARCH(Search!$B$3,$A4542&amp;"")),N(K4541)+1,N(K4541))))</f>
        <v>0</v>
      </c>
    </row>
    <row r="4543" customFormat="false" ht="15" hidden="false" customHeight="false" outlineLevel="0" collapsed="false">
      <c r="K4543" s="24" t="n">
        <f aca="false">IF(Search!$B$3="",0,IF($A4543="",N(K4542),IF(ISNUMBER(SEARCH(Search!$B$3,$A4543&amp;"")),N(K4542)+1,N(K4542))))</f>
        <v>0</v>
      </c>
    </row>
    <row r="4544" customFormat="false" ht="15" hidden="false" customHeight="false" outlineLevel="0" collapsed="false">
      <c r="K4544" s="24" t="n">
        <f aca="false">IF(Search!$B$3="",0,IF($A4544="",N(K4543),IF(ISNUMBER(SEARCH(Search!$B$3,$A4544&amp;"")),N(K4543)+1,N(K4543))))</f>
        <v>0</v>
      </c>
    </row>
    <row r="4545" customFormat="false" ht="15" hidden="false" customHeight="false" outlineLevel="0" collapsed="false">
      <c r="K4545" s="24" t="n">
        <f aca="false">IF(Search!$B$3="",0,IF($A4545="",N(K4544),IF(ISNUMBER(SEARCH(Search!$B$3,$A4545&amp;"")),N(K4544)+1,N(K4544))))</f>
        <v>0</v>
      </c>
    </row>
    <row r="4546" customFormat="false" ht="15" hidden="false" customHeight="false" outlineLevel="0" collapsed="false">
      <c r="K4546" s="24" t="n">
        <f aca="false">IF(Search!$B$3="",0,IF($A4546="",N(K4545),IF(ISNUMBER(SEARCH(Search!$B$3,$A4546&amp;"")),N(K4545)+1,N(K4545))))</f>
        <v>0</v>
      </c>
    </row>
    <row r="4547" customFormat="false" ht="15" hidden="false" customHeight="false" outlineLevel="0" collapsed="false">
      <c r="K4547" s="24" t="n">
        <f aca="false">IF(Search!$B$3="",0,IF($A4547="",N(K4546),IF(ISNUMBER(SEARCH(Search!$B$3,$A4547&amp;"")),N(K4546)+1,N(K4546))))</f>
        <v>0</v>
      </c>
    </row>
    <row r="4548" customFormat="false" ht="15" hidden="false" customHeight="false" outlineLevel="0" collapsed="false">
      <c r="K4548" s="24" t="n">
        <f aca="false">IF(Search!$B$3="",0,IF($A4548="",N(K4547),IF(ISNUMBER(SEARCH(Search!$B$3,$A4548&amp;"")),N(K4547)+1,N(K4547))))</f>
        <v>0</v>
      </c>
    </row>
    <row r="4549" customFormat="false" ht="15" hidden="false" customHeight="false" outlineLevel="0" collapsed="false">
      <c r="K4549" s="24" t="n">
        <f aca="false">IF(Search!$B$3="",0,IF($A4549="",N(K4548),IF(ISNUMBER(SEARCH(Search!$B$3,$A4549&amp;"")),N(K4548)+1,N(K4548))))</f>
        <v>0</v>
      </c>
    </row>
    <row r="4550" customFormat="false" ht="15" hidden="false" customHeight="false" outlineLevel="0" collapsed="false">
      <c r="K4550" s="24" t="n">
        <f aca="false">IF(Search!$B$3="",0,IF($A4550="",N(K4549),IF(ISNUMBER(SEARCH(Search!$B$3,$A4550&amp;"")),N(K4549)+1,N(K4549))))</f>
        <v>0</v>
      </c>
    </row>
    <row r="4551" customFormat="false" ht="15" hidden="false" customHeight="false" outlineLevel="0" collapsed="false">
      <c r="K4551" s="24" t="n">
        <f aca="false">IF(Search!$B$3="",0,IF($A4551="",N(K4550),IF(ISNUMBER(SEARCH(Search!$B$3,$A4551&amp;"")),N(K4550)+1,N(K4550))))</f>
        <v>0</v>
      </c>
    </row>
    <row r="4552" customFormat="false" ht="15" hidden="false" customHeight="false" outlineLevel="0" collapsed="false">
      <c r="K4552" s="24" t="n">
        <f aca="false">IF(Search!$B$3="",0,IF($A4552="",N(K4551),IF(ISNUMBER(SEARCH(Search!$B$3,$A4552&amp;"")),N(K4551)+1,N(K4551))))</f>
        <v>0</v>
      </c>
    </row>
    <row r="4553" customFormat="false" ht="15" hidden="false" customHeight="false" outlineLevel="0" collapsed="false">
      <c r="K4553" s="24" t="n">
        <f aca="false">IF(Search!$B$3="",0,IF($A4553="",N(K4552),IF(ISNUMBER(SEARCH(Search!$B$3,$A4553&amp;"")),N(K4552)+1,N(K4552))))</f>
        <v>0</v>
      </c>
    </row>
    <row r="4554" customFormat="false" ht="15" hidden="false" customHeight="false" outlineLevel="0" collapsed="false">
      <c r="K4554" s="24" t="n">
        <f aca="false">IF(Search!$B$3="",0,IF($A4554="",N(K4553),IF(ISNUMBER(SEARCH(Search!$B$3,$A4554&amp;"")),N(K4553)+1,N(K4553))))</f>
        <v>0</v>
      </c>
    </row>
    <row r="4555" customFormat="false" ht="15" hidden="false" customHeight="false" outlineLevel="0" collapsed="false">
      <c r="K4555" s="24" t="n">
        <f aca="false">IF(Search!$B$3="",0,IF($A4555="",N(K4554),IF(ISNUMBER(SEARCH(Search!$B$3,$A4555&amp;"")),N(K4554)+1,N(K4554))))</f>
        <v>0</v>
      </c>
    </row>
    <row r="4556" customFormat="false" ht="15" hidden="false" customHeight="false" outlineLevel="0" collapsed="false">
      <c r="K4556" s="24" t="n">
        <f aca="false">IF(Search!$B$3="",0,IF($A4556="",N(K4555),IF(ISNUMBER(SEARCH(Search!$B$3,$A4556&amp;"")),N(K4555)+1,N(K4555))))</f>
        <v>0</v>
      </c>
    </row>
    <row r="4557" customFormat="false" ht="15" hidden="false" customHeight="false" outlineLevel="0" collapsed="false">
      <c r="K4557" s="24" t="n">
        <f aca="false">IF(Search!$B$3="",0,IF($A4557="",N(K4556),IF(ISNUMBER(SEARCH(Search!$B$3,$A4557&amp;"")),N(K4556)+1,N(K4556))))</f>
        <v>0</v>
      </c>
    </row>
    <row r="4558" customFormat="false" ht="15" hidden="false" customHeight="false" outlineLevel="0" collapsed="false">
      <c r="K4558" s="24" t="n">
        <f aca="false">IF(Search!$B$3="",0,IF($A4558="",N(K4557),IF(ISNUMBER(SEARCH(Search!$B$3,$A4558&amp;"")),N(K4557)+1,N(K4557))))</f>
        <v>0</v>
      </c>
    </row>
    <row r="4559" customFormat="false" ht="15" hidden="false" customHeight="false" outlineLevel="0" collapsed="false">
      <c r="K4559" s="24" t="n">
        <f aca="false">IF(Search!$B$3="",0,IF($A4559="",N(K4558),IF(ISNUMBER(SEARCH(Search!$B$3,$A4559&amp;"")),N(K4558)+1,N(K4558))))</f>
        <v>0</v>
      </c>
    </row>
    <row r="4560" customFormat="false" ht="15" hidden="false" customHeight="false" outlineLevel="0" collapsed="false">
      <c r="K4560" s="24" t="n">
        <f aca="false">IF(Search!$B$3="",0,IF($A4560="",N(K4559),IF(ISNUMBER(SEARCH(Search!$B$3,$A4560&amp;"")),N(K4559)+1,N(K4559))))</f>
        <v>0</v>
      </c>
    </row>
    <row r="4561" customFormat="false" ht="15" hidden="false" customHeight="false" outlineLevel="0" collapsed="false">
      <c r="K4561" s="24" t="n">
        <f aca="false">IF(Search!$B$3="",0,IF($A4561="",N(K4560),IF(ISNUMBER(SEARCH(Search!$B$3,$A4561&amp;"")),N(K4560)+1,N(K4560))))</f>
        <v>0</v>
      </c>
    </row>
    <row r="4562" customFormat="false" ht="15" hidden="false" customHeight="false" outlineLevel="0" collapsed="false">
      <c r="K4562" s="24" t="n">
        <f aca="false">IF(Search!$B$3="",0,IF($A4562="",N(K4561),IF(ISNUMBER(SEARCH(Search!$B$3,$A4562&amp;"")),N(K4561)+1,N(K4561))))</f>
        <v>0</v>
      </c>
    </row>
    <row r="4563" customFormat="false" ht="15" hidden="false" customHeight="false" outlineLevel="0" collapsed="false">
      <c r="K4563" s="24" t="n">
        <f aca="false">IF(Search!$B$3="",0,IF($A4563="",N(K4562),IF(ISNUMBER(SEARCH(Search!$B$3,$A4563&amp;"")),N(K4562)+1,N(K4562))))</f>
        <v>0</v>
      </c>
    </row>
    <row r="4564" customFormat="false" ht="15" hidden="false" customHeight="false" outlineLevel="0" collapsed="false">
      <c r="K4564" s="24" t="n">
        <f aca="false">IF(Search!$B$3="",0,IF($A4564="",N(K4563),IF(ISNUMBER(SEARCH(Search!$B$3,$A4564&amp;"")),N(K4563)+1,N(K4563))))</f>
        <v>0</v>
      </c>
    </row>
    <row r="4565" customFormat="false" ht="15" hidden="false" customHeight="false" outlineLevel="0" collapsed="false">
      <c r="K4565" s="24" t="n">
        <f aca="false">IF(Search!$B$3="",0,IF($A4565="",N(K4564),IF(ISNUMBER(SEARCH(Search!$B$3,$A4565&amp;"")),N(K4564)+1,N(K4564))))</f>
        <v>0</v>
      </c>
    </row>
    <row r="4566" customFormat="false" ht="15" hidden="false" customHeight="false" outlineLevel="0" collapsed="false">
      <c r="K4566" s="24" t="n">
        <f aca="false">IF(Search!$B$3="",0,IF($A4566="",N(K4565),IF(ISNUMBER(SEARCH(Search!$B$3,$A4566&amp;"")),N(K4565)+1,N(K4565))))</f>
        <v>0</v>
      </c>
    </row>
    <row r="4567" customFormat="false" ht="15" hidden="false" customHeight="false" outlineLevel="0" collapsed="false">
      <c r="K4567" s="24" t="n">
        <f aca="false">IF(Search!$B$3="",0,IF($A4567="",N(K4566),IF(ISNUMBER(SEARCH(Search!$B$3,$A4567&amp;"")),N(K4566)+1,N(K4566))))</f>
        <v>0</v>
      </c>
    </row>
    <row r="4568" customFormat="false" ht="15" hidden="false" customHeight="false" outlineLevel="0" collapsed="false">
      <c r="K4568" s="24" t="n">
        <f aca="false">IF(Search!$B$3="",0,IF($A4568="",N(K4567),IF(ISNUMBER(SEARCH(Search!$B$3,$A4568&amp;"")),N(K4567)+1,N(K4567))))</f>
        <v>0</v>
      </c>
    </row>
    <row r="4569" customFormat="false" ht="15" hidden="false" customHeight="false" outlineLevel="0" collapsed="false">
      <c r="K4569" s="24" t="n">
        <f aca="false">IF(Search!$B$3="",0,IF($A4569="",N(K4568),IF(ISNUMBER(SEARCH(Search!$B$3,$A4569&amp;"")),N(K4568)+1,N(K4568))))</f>
        <v>0</v>
      </c>
    </row>
    <row r="4570" customFormat="false" ht="15" hidden="false" customHeight="false" outlineLevel="0" collapsed="false">
      <c r="K4570" s="24" t="n">
        <f aca="false">IF(Search!$B$3="",0,IF($A4570="",N(K4569),IF(ISNUMBER(SEARCH(Search!$B$3,$A4570&amp;"")),N(K4569)+1,N(K4569))))</f>
        <v>0</v>
      </c>
    </row>
    <row r="4571" customFormat="false" ht="15" hidden="false" customHeight="false" outlineLevel="0" collapsed="false">
      <c r="K4571" s="24" t="n">
        <f aca="false">IF(Search!$B$3="",0,IF($A4571="",N(K4570),IF(ISNUMBER(SEARCH(Search!$B$3,$A4571&amp;"")),N(K4570)+1,N(K4570))))</f>
        <v>0</v>
      </c>
    </row>
    <row r="4572" customFormat="false" ht="15" hidden="false" customHeight="false" outlineLevel="0" collapsed="false">
      <c r="K4572" s="24" t="n">
        <f aca="false">IF(Search!$B$3="",0,IF($A4572="",N(K4571),IF(ISNUMBER(SEARCH(Search!$B$3,$A4572&amp;"")),N(K4571)+1,N(K4571))))</f>
        <v>0</v>
      </c>
    </row>
    <row r="4573" customFormat="false" ht="15" hidden="false" customHeight="false" outlineLevel="0" collapsed="false">
      <c r="K4573" s="24" t="n">
        <f aca="false">IF(Search!$B$3="",0,IF($A4573="",N(K4572),IF(ISNUMBER(SEARCH(Search!$B$3,$A4573&amp;"")),N(K4572)+1,N(K4572))))</f>
        <v>0</v>
      </c>
    </row>
    <row r="4574" customFormat="false" ht="15" hidden="false" customHeight="false" outlineLevel="0" collapsed="false">
      <c r="K4574" s="24" t="n">
        <f aca="false">IF(Search!$B$3="",0,IF($A4574="",N(K4573),IF(ISNUMBER(SEARCH(Search!$B$3,$A4574&amp;"")),N(K4573)+1,N(K4573))))</f>
        <v>0</v>
      </c>
    </row>
    <row r="4575" customFormat="false" ht="15" hidden="false" customHeight="false" outlineLevel="0" collapsed="false">
      <c r="K4575" s="24" t="n">
        <f aca="false">IF(Search!$B$3="",0,IF($A4575="",N(K4574),IF(ISNUMBER(SEARCH(Search!$B$3,$A4575&amp;"")),N(K4574)+1,N(K4574))))</f>
        <v>0</v>
      </c>
    </row>
    <row r="4576" customFormat="false" ht="15" hidden="false" customHeight="false" outlineLevel="0" collapsed="false">
      <c r="K4576" s="24" t="n">
        <f aca="false">IF(Search!$B$3="",0,IF($A4576="",N(K4575),IF(ISNUMBER(SEARCH(Search!$B$3,$A4576&amp;"")),N(K4575)+1,N(K4575))))</f>
        <v>0</v>
      </c>
    </row>
    <row r="4577" customFormat="false" ht="15" hidden="false" customHeight="false" outlineLevel="0" collapsed="false">
      <c r="K4577" s="24" t="n">
        <f aca="false">IF(Search!$B$3="",0,IF($A4577="",N(K4576),IF(ISNUMBER(SEARCH(Search!$B$3,$A4577&amp;"")),N(K4576)+1,N(K4576))))</f>
        <v>0</v>
      </c>
    </row>
    <row r="4578" customFormat="false" ht="15" hidden="false" customHeight="false" outlineLevel="0" collapsed="false">
      <c r="K4578" s="24" t="n">
        <f aca="false">IF(Search!$B$3="",0,IF($A4578="",N(K4577),IF(ISNUMBER(SEARCH(Search!$B$3,$A4578&amp;"")),N(K4577)+1,N(K4577))))</f>
        <v>0</v>
      </c>
    </row>
    <row r="4579" customFormat="false" ht="15" hidden="false" customHeight="false" outlineLevel="0" collapsed="false">
      <c r="K4579" s="24" t="n">
        <f aca="false">IF(Search!$B$3="",0,IF($A4579="",N(K4578),IF(ISNUMBER(SEARCH(Search!$B$3,$A4579&amp;"")),N(K4578)+1,N(K4578))))</f>
        <v>0</v>
      </c>
    </row>
    <row r="4580" customFormat="false" ht="15" hidden="false" customHeight="false" outlineLevel="0" collapsed="false">
      <c r="K4580" s="24" t="n">
        <f aca="false">IF(Search!$B$3="",0,IF($A4580="",N(K4579),IF(ISNUMBER(SEARCH(Search!$B$3,$A4580&amp;"")),N(K4579)+1,N(K4579))))</f>
        <v>0</v>
      </c>
    </row>
    <row r="4581" customFormat="false" ht="15" hidden="false" customHeight="false" outlineLevel="0" collapsed="false">
      <c r="K4581" s="24" t="n">
        <f aca="false">IF(Search!$B$3="",0,IF($A4581="",N(K4580),IF(ISNUMBER(SEARCH(Search!$B$3,$A4581&amp;"")),N(K4580)+1,N(K4580))))</f>
        <v>0</v>
      </c>
    </row>
    <row r="4582" customFormat="false" ht="15" hidden="false" customHeight="false" outlineLevel="0" collapsed="false">
      <c r="K4582" s="24" t="n">
        <f aca="false">IF(Search!$B$3="",0,IF($A4582="",N(K4581),IF(ISNUMBER(SEARCH(Search!$B$3,$A4582&amp;"")),N(K4581)+1,N(K4581))))</f>
        <v>0</v>
      </c>
    </row>
    <row r="4583" customFormat="false" ht="15" hidden="false" customHeight="false" outlineLevel="0" collapsed="false">
      <c r="K4583" s="24" t="n">
        <f aca="false">IF(Search!$B$3="",0,IF($A4583="",N(K4582),IF(ISNUMBER(SEARCH(Search!$B$3,$A4583&amp;"")),N(K4582)+1,N(K4582))))</f>
        <v>0</v>
      </c>
    </row>
    <row r="4584" customFormat="false" ht="15" hidden="false" customHeight="false" outlineLevel="0" collapsed="false">
      <c r="K4584" s="24" t="n">
        <f aca="false">IF(Search!$B$3="",0,IF($A4584="",N(K4583),IF(ISNUMBER(SEARCH(Search!$B$3,$A4584&amp;"")),N(K4583)+1,N(K4583))))</f>
        <v>0</v>
      </c>
    </row>
    <row r="4585" customFormat="false" ht="15" hidden="false" customHeight="false" outlineLevel="0" collapsed="false">
      <c r="K4585" s="24" t="n">
        <f aca="false">IF(Search!$B$3="",0,IF($A4585="",N(K4584),IF(ISNUMBER(SEARCH(Search!$B$3,$A4585&amp;"")),N(K4584)+1,N(K4584))))</f>
        <v>0</v>
      </c>
    </row>
    <row r="4586" customFormat="false" ht="15" hidden="false" customHeight="false" outlineLevel="0" collapsed="false">
      <c r="K4586" s="24" t="n">
        <f aca="false">IF(Search!$B$3="",0,IF($A4586="",N(K4585),IF(ISNUMBER(SEARCH(Search!$B$3,$A4586&amp;"")),N(K4585)+1,N(K4585))))</f>
        <v>0</v>
      </c>
    </row>
    <row r="4587" customFormat="false" ht="15" hidden="false" customHeight="false" outlineLevel="0" collapsed="false">
      <c r="K4587" s="24" t="n">
        <f aca="false">IF(Search!$B$3="",0,IF($A4587="",N(K4586),IF(ISNUMBER(SEARCH(Search!$B$3,$A4587&amp;"")),N(K4586)+1,N(K4586))))</f>
        <v>0</v>
      </c>
    </row>
    <row r="4588" customFormat="false" ht="15" hidden="false" customHeight="false" outlineLevel="0" collapsed="false">
      <c r="K4588" s="24" t="n">
        <f aca="false">IF(Search!$B$3="",0,IF($A4588="",N(K4587),IF(ISNUMBER(SEARCH(Search!$B$3,$A4588&amp;"")),N(K4587)+1,N(K4587))))</f>
        <v>0</v>
      </c>
    </row>
    <row r="4589" customFormat="false" ht="15" hidden="false" customHeight="false" outlineLevel="0" collapsed="false">
      <c r="K4589" s="24" t="n">
        <f aca="false">IF(Search!$B$3="",0,IF($A4589="",N(K4588),IF(ISNUMBER(SEARCH(Search!$B$3,$A4589&amp;"")),N(K4588)+1,N(K4588))))</f>
        <v>0</v>
      </c>
    </row>
    <row r="4590" customFormat="false" ht="15" hidden="false" customHeight="false" outlineLevel="0" collapsed="false">
      <c r="K4590" s="24" t="n">
        <f aca="false">IF(Search!$B$3="",0,IF($A4590="",N(K4589),IF(ISNUMBER(SEARCH(Search!$B$3,$A4590&amp;"")),N(K4589)+1,N(K4589))))</f>
        <v>0</v>
      </c>
    </row>
    <row r="4591" customFormat="false" ht="15" hidden="false" customHeight="false" outlineLevel="0" collapsed="false">
      <c r="K4591" s="24" t="n">
        <f aca="false">IF(Search!$B$3="",0,IF($A4591="",N(K4590),IF(ISNUMBER(SEARCH(Search!$B$3,$A4591&amp;"")),N(K4590)+1,N(K4590))))</f>
        <v>0</v>
      </c>
    </row>
    <row r="4592" customFormat="false" ht="15" hidden="false" customHeight="false" outlineLevel="0" collapsed="false">
      <c r="K4592" s="24" t="n">
        <f aca="false">IF(Search!$B$3="",0,IF($A4592="",N(K4591),IF(ISNUMBER(SEARCH(Search!$B$3,$A4592&amp;"")),N(K4591)+1,N(K4591))))</f>
        <v>0</v>
      </c>
    </row>
    <row r="4593" customFormat="false" ht="15" hidden="false" customHeight="false" outlineLevel="0" collapsed="false">
      <c r="K4593" s="24" t="n">
        <f aca="false">IF(Search!$B$3="",0,IF($A4593="",N(K4592),IF(ISNUMBER(SEARCH(Search!$B$3,$A4593&amp;"")),N(K4592)+1,N(K4592))))</f>
        <v>0</v>
      </c>
    </row>
    <row r="4594" customFormat="false" ht="15" hidden="false" customHeight="false" outlineLevel="0" collapsed="false">
      <c r="K4594" s="24" t="n">
        <f aca="false">IF(Search!$B$3="",0,IF($A4594="",N(K4593),IF(ISNUMBER(SEARCH(Search!$B$3,$A4594&amp;"")),N(K4593)+1,N(K4593))))</f>
        <v>0</v>
      </c>
    </row>
    <row r="4595" customFormat="false" ht="15" hidden="false" customHeight="false" outlineLevel="0" collapsed="false">
      <c r="K4595" s="24" t="n">
        <f aca="false">IF(Search!$B$3="",0,IF($A4595="",N(K4594),IF(ISNUMBER(SEARCH(Search!$B$3,$A4595&amp;"")),N(K4594)+1,N(K4594))))</f>
        <v>0</v>
      </c>
    </row>
    <row r="4596" customFormat="false" ht="15" hidden="false" customHeight="false" outlineLevel="0" collapsed="false">
      <c r="K4596" s="24" t="n">
        <f aca="false">IF(Search!$B$3="",0,IF($A4596="",N(K4595),IF(ISNUMBER(SEARCH(Search!$B$3,$A4596&amp;"")),N(K4595)+1,N(K4595))))</f>
        <v>0</v>
      </c>
    </row>
    <row r="4597" customFormat="false" ht="15" hidden="false" customHeight="false" outlineLevel="0" collapsed="false">
      <c r="K4597" s="24" t="n">
        <f aca="false">IF(Search!$B$3="",0,IF($A4597="",N(K4596),IF(ISNUMBER(SEARCH(Search!$B$3,$A4597&amp;"")),N(K4596)+1,N(K4596))))</f>
        <v>0</v>
      </c>
    </row>
    <row r="4598" customFormat="false" ht="15" hidden="false" customHeight="false" outlineLevel="0" collapsed="false">
      <c r="K4598" s="24" t="n">
        <f aca="false">IF(Search!$B$3="",0,IF($A4598="",N(K4597),IF(ISNUMBER(SEARCH(Search!$B$3,$A4598&amp;"")),N(K4597)+1,N(K4597))))</f>
        <v>0</v>
      </c>
    </row>
    <row r="4599" customFormat="false" ht="15" hidden="false" customHeight="false" outlineLevel="0" collapsed="false">
      <c r="K4599" s="24" t="n">
        <f aca="false">IF(Search!$B$3="",0,IF($A4599="",N(K4598),IF(ISNUMBER(SEARCH(Search!$B$3,$A4599&amp;"")),N(K4598)+1,N(K4598))))</f>
        <v>0</v>
      </c>
    </row>
    <row r="4600" customFormat="false" ht="15" hidden="false" customHeight="false" outlineLevel="0" collapsed="false">
      <c r="K4600" s="24" t="n">
        <f aca="false">IF(Search!$B$3="",0,IF($A4600="",N(K4599),IF(ISNUMBER(SEARCH(Search!$B$3,$A4600&amp;"")),N(K4599)+1,N(K4599))))</f>
        <v>0</v>
      </c>
    </row>
    <row r="4601" customFormat="false" ht="15" hidden="false" customHeight="false" outlineLevel="0" collapsed="false">
      <c r="K4601" s="24" t="n">
        <f aca="false">IF(Search!$B$3="",0,IF($A4601="",N(K4600),IF(ISNUMBER(SEARCH(Search!$B$3,$A4601&amp;"")),N(K4600)+1,N(K4600))))</f>
        <v>0</v>
      </c>
    </row>
    <row r="4602" customFormat="false" ht="15" hidden="false" customHeight="false" outlineLevel="0" collapsed="false">
      <c r="K4602" s="24" t="n">
        <f aca="false">IF(Search!$B$3="",0,IF($A4602="",N(K4601),IF(ISNUMBER(SEARCH(Search!$B$3,$A4602&amp;"")),N(K4601)+1,N(K4601))))</f>
        <v>0</v>
      </c>
    </row>
    <row r="4603" customFormat="false" ht="15" hidden="false" customHeight="false" outlineLevel="0" collapsed="false">
      <c r="K4603" s="24" t="n">
        <f aca="false">IF(Search!$B$3="",0,IF($A4603="",N(K4602),IF(ISNUMBER(SEARCH(Search!$B$3,$A4603&amp;"")),N(K4602)+1,N(K4602))))</f>
        <v>0</v>
      </c>
    </row>
    <row r="4604" customFormat="false" ht="15" hidden="false" customHeight="false" outlineLevel="0" collapsed="false">
      <c r="K4604" s="24" t="n">
        <f aca="false">IF(Search!$B$3="",0,IF($A4604="",N(K4603),IF(ISNUMBER(SEARCH(Search!$B$3,$A4604&amp;"")),N(K4603)+1,N(K4603))))</f>
        <v>0</v>
      </c>
    </row>
    <row r="4605" customFormat="false" ht="15" hidden="false" customHeight="false" outlineLevel="0" collapsed="false">
      <c r="K4605" s="24" t="n">
        <f aca="false">IF(Search!$B$3="",0,IF($A4605="",N(K4604),IF(ISNUMBER(SEARCH(Search!$B$3,$A4605&amp;"")),N(K4604)+1,N(K4604))))</f>
        <v>0</v>
      </c>
    </row>
    <row r="4606" customFormat="false" ht="15" hidden="false" customHeight="false" outlineLevel="0" collapsed="false">
      <c r="K4606" s="24" t="n">
        <f aca="false">IF(Search!$B$3="",0,IF($A4606="",N(K4605),IF(ISNUMBER(SEARCH(Search!$B$3,$A4606&amp;"")),N(K4605)+1,N(K4605))))</f>
        <v>0</v>
      </c>
    </row>
    <row r="4607" customFormat="false" ht="15" hidden="false" customHeight="false" outlineLevel="0" collapsed="false">
      <c r="K4607" s="24" t="n">
        <f aca="false">IF(Search!$B$3="",0,IF($A4607="",N(K4606),IF(ISNUMBER(SEARCH(Search!$B$3,$A4607&amp;"")),N(K4606)+1,N(K4606))))</f>
        <v>0</v>
      </c>
    </row>
    <row r="4608" customFormat="false" ht="15" hidden="false" customHeight="false" outlineLevel="0" collapsed="false">
      <c r="K4608" s="24" t="n">
        <f aca="false">IF(Search!$B$3="",0,IF($A4608="",N(K4607),IF(ISNUMBER(SEARCH(Search!$B$3,$A4608&amp;"")),N(K4607)+1,N(K4607))))</f>
        <v>0</v>
      </c>
    </row>
    <row r="4609" customFormat="false" ht="15" hidden="false" customHeight="false" outlineLevel="0" collapsed="false">
      <c r="K4609" s="24" t="n">
        <f aca="false">IF(Search!$B$3="",0,IF($A4609="",N(K4608),IF(ISNUMBER(SEARCH(Search!$B$3,$A4609&amp;"")),N(K4608)+1,N(K4608))))</f>
        <v>0</v>
      </c>
    </row>
    <row r="4610" customFormat="false" ht="15" hidden="false" customHeight="false" outlineLevel="0" collapsed="false">
      <c r="K4610" s="24" t="n">
        <f aca="false">IF(Search!$B$3="",0,IF($A4610="",N(K4609),IF(ISNUMBER(SEARCH(Search!$B$3,$A4610&amp;"")),N(K4609)+1,N(K4609))))</f>
        <v>0</v>
      </c>
    </row>
    <row r="4611" customFormat="false" ht="15" hidden="false" customHeight="false" outlineLevel="0" collapsed="false">
      <c r="K4611" s="24" t="n">
        <f aca="false">IF(Search!$B$3="",0,IF($A4611="",N(K4610),IF(ISNUMBER(SEARCH(Search!$B$3,$A4611&amp;"")),N(K4610)+1,N(K4610))))</f>
        <v>0</v>
      </c>
    </row>
    <row r="4612" customFormat="false" ht="15" hidden="false" customHeight="false" outlineLevel="0" collapsed="false">
      <c r="K4612" s="24" t="n">
        <f aca="false">IF(Search!$B$3="",0,IF($A4612="",N(K4611),IF(ISNUMBER(SEARCH(Search!$B$3,$A4612&amp;"")),N(K4611)+1,N(K4611))))</f>
        <v>0</v>
      </c>
    </row>
    <row r="4613" customFormat="false" ht="15" hidden="false" customHeight="false" outlineLevel="0" collapsed="false">
      <c r="K4613" s="24" t="n">
        <f aca="false">IF(Search!$B$3="",0,IF($A4613="",N(K4612),IF(ISNUMBER(SEARCH(Search!$B$3,$A4613&amp;"")),N(K4612)+1,N(K4612))))</f>
        <v>0</v>
      </c>
    </row>
    <row r="4614" customFormat="false" ht="15" hidden="false" customHeight="false" outlineLevel="0" collapsed="false">
      <c r="K4614" s="24" t="n">
        <f aca="false">IF(Search!$B$3="",0,IF($A4614="",N(K4613),IF(ISNUMBER(SEARCH(Search!$B$3,$A4614&amp;"")),N(K4613)+1,N(K4613))))</f>
        <v>0</v>
      </c>
    </row>
    <row r="4615" customFormat="false" ht="15" hidden="false" customHeight="false" outlineLevel="0" collapsed="false">
      <c r="K4615" s="24" t="n">
        <f aca="false">IF(Search!$B$3="",0,IF($A4615="",N(K4614),IF(ISNUMBER(SEARCH(Search!$B$3,$A4615&amp;"")),N(K4614)+1,N(K4614))))</f>
        <v>0</v>
      </c>
    </row>
    <row r="4616" customFormat="false" ht="15" hidden="false" customHeight="false" outlineLevel="0" collapsed="false">
      <c r="K4616" s="24" t="n">
        <f aca="false">IF(Search!$B$3="",0,IF($A4616="",N(K4615),IF(ISNUMBER(SEARCH(Search!$B$3,$A4616&amp;"")),N(K4615)+1,N(K4615))))</f>
        <v>0</v>
      </c>
    </row>
    <row r="4617" customFormat="false" ht="15" hidden="false" customHeight="false" outlineLevel="0" collapsed="false">
      <c r="K4617" s="24" t="n">
        <f aca="false">IF(Search!$B$3="",0,IF($A4617="",N(K4616),IF(ISNUMBER(SEARCH(Search!$B$3,$A4617&amp;"")),N(K4616)+1,N(K4616))))</f>
        <v>0</v>
      </c>
    </row>
    <row r="4618" customFormat="false" ht="15" hidden="false" customHeight="false" outlineLevel="0" collapsed="false">
      <c r="K4618" s="24" t="n">
        <f aca="false">IF(Search!$B$3="",0,IF($A4618="",N(K4617),IF(ISNUMBER(SEARCH(Search!$B$3,$A4618&amp;"")),N(K4617)+1,N(K4617))))</f>
        <v>0</v>
      </c>
    </row>
    <row r="4619" customFormat="false" ht="15" hidden="false" customHeight="false" outlineLevel="0" collapsed="false">
      <c r="K4619" s="24" t="n">
        <f aca="false">IF(Search!$B$3="",0,IF($A4619="",N(K4618),IF(ISNUMBER(SEARCH(Search!$B$3,$A4619&amp;"")),N(K4618)+1,N(K4618))))</f>
        <v>0</v>
      </c>
    </row>
    <row r="4620" customFormat="false" ht="15" hidden="false" customHeight="false" outlineLevel="0" collapsed="false">
      <c r="K4620" s="24" t="n">
        <f aca="false">IF(Search!$B$3="",0,IF($A4620="",N(K4619),IF(ISNUMBER(SEARCH(Search!$B$3,$A4620&amp;"")),N(K4619)+1,N(K4619))))</f>
        <v>0</v>
      </c>
    </row>
    <row r="4621" customFormat="false" ht="15" hidden="false" customHeight="false" outlineLevel="0" collapsed="false">
      <c r="K4621" s="24" t="n">
        <f aca="false">IF(Search!$B$3="",0,IF($A4621="",N(K4620),IF(ISNUMBER(SEARCH(Search!$B$3,$A4621&amp;"")),N(K4620)+1,N(K4620))))</f>
        <v>0</v>
      </c>
    </row>
    <row r="4622" customFormat="false" ht="15" hidden="false" customHeight="false" outlineLevel="0" collapsed="false">
      <c r="K4622" s="24" t="n">
        <f aca="false">IF(Search!$B$3="",0,IF($A4622="",N(K4621),IF(ISNUMBER(SEARCH(Search!$B$3,$A4622&amp;"")),N(K4621)+1,N(K4621))))</f>
        <v>0</v>
      </c>
    </row>
    <row r="4623" customFormat="false" ht="15" hidden="false" customHeight="false" outlineLevel="0" collapsed="false">
      <c r="K4623" s="24" t="n">
        <f aca="false">IF(Search!$B$3="",0,IF($A4623="",N(K4622),IF(ISNUMBER(SEARCH(Search!$B$3,$A4623&amp;"")),N(K4622)+1,N(K4622))))</f>
        <v>0</v>
      </c>
    </row>
    <row r="4624" customFormat="false" ht="15" hidden="false" customHeight="false" outlineLevel="0" collapsed="false">
      <c r="K4624" s="24" t="n">
        <f aca="false">IF(Search!$B$3="",0,IF($A4624="",N(K4623),IF(ISNUMBER(SEARCH(Search!$B$3,$A4624&amp;"")),N(K4623)+1,N(K4623))))</f>
        <v>0</v>
      </c>
    </row>
    <row r="4625" customFormat="false" ht="15" hidden="false" customHeight="false" outlineLevel="0" collapsed="false">
      <c r="K4625" s="24" t="n">
        <f aca="false">IF(Search!$B$3="",0,IF($A4625="",N(K4624),IF(ISNUMBER(SEARCH(Search!$B$3,$A4625&amp;"")),N(K4624)+1,N(K4624))))</f>
        <v>0</v>
      </c>
    </row>
    <row r="4626" customFormat="false" ht="15" hidden="false" customHeight="false" outlineLevel="0" collapsed="false">
      <c r="K4626" s="24" t="n">
        <f aca="false">IF(Search!$B$3="",0,IF($A4626="",N(K4625),IF(ISNUMBER(SEARCH(Search!$B$3,$A4626&amp;"")),N(K4625)+1,N(K4625))))</f>
        <v>0</v>
      </c>
    </row>
    <row r="4627" customFormat="false" ht="15" hidden="false" customHeight="false" outlineLevel="0" collapsed="false">
      <c r="K4627" s="24" t="n">
        <f aca="false">IF(Search!$B$3="",0,IF($A4627="",N(K4626),IF(ISNUMBER(SEARCH(Search!$B$3,$A4627&amp;"")),N(K4626)+1,N(K4626))))</f>
        <v>0</v>
      </c>
    </row>
    <row r="4628" customFormat="false" ht="15" hidden="false" customHeight="false" outlineLevel="0" collapsed="false">
      <c r="K4628" s="24" t="n">
        <f aca="false">IF(Search!$B$3="",0,IF($A4628="",N(K4627),IF(ISNUMBER(SEARCH(Search!$B$3,$A4628&amp;"")),N(K4627)+1,N(K4627))))</f>
        <v>0</v>
      </c>
    </row>
    <row r="4629" customFormat="false" ht="15" hidden="false" customHeight="false" outlineLevel="0" collapsed="false">
      <c r="K4629" s="24" t="n">
        <f aca="false">IF(Search!$B$3="",0,IF($A4629="",N(K4628),IF(ISNUMBER(SEARCH(Search!$B$3,$A4629&amp;"")),N(K4628)+1,N(K4628))))</f>
        <v>0</v>
      </c>
    </row>
    <row r="4630" customFormat="false" ht="15" hidden="false" customHeight="false" outlineLevel="0" collapsed="false">
      <c r="K4630" s="24" t="n">
        <f aca="false">IF(Search!$B$3="",0,IF($A4630="",N(K4629),IF(ISNUMBER(SEARCH(Search!$B$3,$A4630&amp;"")),N(K4629)+1,N(K4629))))</f>
        <v>0</v>
      </c>
    </row>
    <row r="4631" customFormat="false" ht="15" hidden="false" customHeight="false" outlineLevel="0" collapsed="false">
      <c r="K4631" s="24" t="n">
        <f aca="false">IF(Search!$B$3="",0,IF($A4631="",N(K4630),IF(ISNUMBER(SEARCH(Search!$B$3,$A4631&amp;"")),N(K4630)+1,N(K4630))))</f>
        <v>0</v>
      </c>
    </row>
    <row r="4632" customFormat="false" ht="15" hidden="false" customHeight="false" outlineLevel="0" collapsed="false">
      <c r="K4632" s="24" t="n">
        <f aca="false">IF(Search!$B$3="",0,IF($A4632="",N(K4631),IF(ISNUMBER(SEARCH(Search!$B$3,$A4632&amp;"")),N(K4631)+1,N(K4631))))</f>
        <v>0</v>
      </c>
    </row>
    <row r="4633" customFormat="false" ht="15" hidden="false" customHeight="false" outlineLevel="0" collapsed="false">
      <c r="K4633" s="24" t="n">
        <f aca="false">IF(Search!$B$3="",0,IF($A4633="",N(K4632),IF(ISNUMBER(SEARCH(Search!$B$3,$A4633&amp;"")),N(K4632)+1,N(K4632))))</f>
        <v>0</v>
      </c>
    </row>
    <row r="4634" customFormat="false" ht="15" hidden="false" customHeight="false" outlineLevel="0" collapsed="false">
      <c r="K4634" s="24" t="n">
        <f aca="false">IF(Search!$B$3="",0,IF($A4634="",N(K4633),IF(ISNUMBER(SEARCH(Search!$B$3,$A4634&amp;"")),N(K4633)+1,N(K4633))))</f>
        <v>0</v>
      </c>
    </row>
    <row r="4635" customFormat="false" ht="15" hidden="false" customHeight="false" outlineLevel="0" collapsed="false">
      <c r="K4635" s="24" t="n">
        <f aca="false">IF(Search!$B$3="",0,IF($A4635="",N(K4634),IF(ISNUMBER(SEARCH(Search!$B$3,$A4635&amp;"")),N(K4634)+1,N(K4634))))</f>
        <v>0</v>
      </c>
    </row>
    <row r="4636" customFormat="false" ht="15" hidden="false" customHeight="false" outlineLevel="0" collapsed="false">
      <c r="K4636" s="24" t="n">
        <f aca="false">IF(Search!$B$3="",0,IF($A4636="",N(K4635),IF(ISNUMBER(SEARCH(Search!$B$3,$A4636&amp;"")),N(K4635)+1,N(K4635))))</f>
        <v>0</v>
      </c>
    </row>
    <row r="4637" customFormat="false" ht="15" hidden="false" customHeight="false" outlineLevel="0" collapsed="false">
      <c r="K4637" s="24" t="n">
        <f aca="false">IF(Search!$B$3="",0,IF($A4637="",N(K4636),IF(ISNUMBER(SEARCH(Search!$B$3,$A4637&amp;"")),N(K4636)+1,N(K4636))))</f>
        <v>0</v>
      </c>
    </row>
    <row r="4638" customFormat="false" ht="15" hidden="false" customHeight="false" outlineLevel="0" collapsed="false">
      <c r="K4638" s="24" t="n">
        <f aca="false">IF(Search!$B$3="",0,IF($A4638="",N(K4637),IF(ISNUMBER(SEARCH(Search!$B$3,$A4638&amp;"")),N(K4637)+1,N(K4637))))</f>
        <v>0</v>
      </c>
    </row>
    <row r="4639" customFormat="false" ht="15" hidden="false" customHeight="false" outlineLevel="0" collapsed="false">
      <c r="K4639" s="24" t="n">
        <f aca="false">IF(Search!$B$3="",0,IF($A4639="",N(K4638),IF(ISNUMBER(SEARCH(Search!$B$3,$A4639&amp;"")),N(K4638)+1,N(K4638))))</f>
        <v>0</v>
      </c>
    </row>
    <row r="4640" customFormat="false" ht="15" hidden="false" customHeight="false" outlineLevel="0" collapsed="false">
      <c r="K4640" s="24" t="n">
        <f aca="false">IF(Search!$B$3="",0,IF($A4640="",N(K4639),IF(ISNUMBER(SEARCH(Search!$B$3,$A4640&amp;"")),N(K4639)+1,N(K4639))))</f>
        <v>0</v>
      </c>
    </row>
    <row r="4641" customFormat="false" ht="15" hidden="false" customHeight="false" outlineLevel="0" collapsed="false">
      <c r="K4641" s="24" t="n">
        <f aca="false">IF(Search!$B$3="",0,IF($A4641="",N(K4640),IF(ISNUMBER(SEARCH(Search!$B$3,$A4641&amp;"")),N(K4640)+1,N(K4640))))</f>
        <v>0</v>
      </c>
    </row>
    <row r="4642" customFormat="false" ht="15" hidden="false" customHeight="false" outlineLevel="0" collapsed="false">
      <c r="K4642" s="24" t="n">
        <f aca="false">IF(Search!$B$3="",0,IF($A4642="",N(K4641),IF(ISNUMBER(SEARCH(Search!$B$3,$A4642&amp;"")),N(K4641)+1,N(K4641))))</f>
        <v>0</v>
      </c>
    </row>
    <row r="4643" customFormat="false" ht="15" hidden="false" customHeight="false" outlineLevel="0" collapsed="false">
      <c r="K4643" s="24" t="n">
        <f aca="false">IF(Search!$B$3="",0,IF($A4643="",N(K4642),IF(ISNUMBER(SEARCH(Search!$B$3,$A4643&amp;"")),N(K4642)+1,N(K4642))))</f>
        <v>0</v>
      </c>
    </row>
    <row r="4644" customFormat="false" ht="15" hidden="false" customHeight="false" outlineLevel="0" collapsed="false">
      <c r="K4644" s="24" t="n">
        <f aca="false">IF(Search!$B$3="",0,IF($A4644="",N(K4643),IF(ISNUMBER(SEARCH(Search!$B$3,$A4644&amp;"")),N(K4643)+1,N(K4643))))</f>
        <v>0</v>
      </c>
    </row>
    <row r="4645" customFormat="false" ht="15" hidden="false" customHeight="false" outlineLevel="0" collapsed="false">
      <c r="K4645" s="24" t="n">
        <f aca="false">IF(Search!$B$3="",0,IF($A4645="",N(K4644),IF(ISNUMBER(SEARCH(Search!$B$3,$A4645&amp;"")),N(K4644)+1,N(K4644))))</f>
        <v>0</v>
      </c>
    </row>
    <row r="4646" customFormat="false" ht="15" hidden="false" customHeight="false" outlineLevel="0" collapsed="false">
      <c r="K4646" s="24" t="n">
        <f aca="false">IF(Search!$B$3="",0,IF($A4646="",N(K4645),IF(ISNUMBER(SEARCH(Search!$B$3,$A4646&amp;"")),N(K4645)+1,N(K4645))))</f>
        <v>0</v>
      </c>
    </row>
    <row r="4647" customFormat="false" ht="15" hidden="false" customHeight="false" outlineLevel="0" collapsed="false">
      <c r="K4647" s="24" t="n">
        <f aca="false">IF(Search!$B$3="",0,IF($A4647="",N(K4646),IF(ISNUMBER(SEARCH(Search!$B$3,$A4647&amp;"")),N(K4646)+1,N(K4646))))</f>
        <v>0</v>
      </c>
    </row>
    <row r="4648" customFormat="false" ht="15" hidden="false" customHeight="false" outlineLevel="0" collapsed="false">
      <c r="K4648" s="24" t="n">
        <f aca="false">IF(Search!$B$3="",0,IF($A4648="",N(K4647),IF(ISNUMBER(SEARCH(Search!$B$3,$A4648&amp;"")),N(K4647)+1,N(K4647))))</f>
        <v>0</v>
      </c>
    </row>
    <row r="4649" customFormat="false" ht="15" hidden="false" customHeight="false" outlineLevel="0" collapsed="false">
      <c r="K4649" s="24" t="n">
        <f aca="false">IF(Search!$B$3="",0,IF($A4649="",N(K4648),IF(ISNUMBER(SEARCH(Search!$B$3,$A4649&amp;"")),N(K4648)+1,N(K4648))))</f>
        <v>0</v>
      </c>
    </row>
    <row r="4650" customFormat="false" ht="15" hidden="false" customHeight="false" outlineLevel="0" collapsed="false">
      <c r="K4650" s="24" t="n">
        <f aca="false">IF(Search!$B$3="",0,IF($A4650="",N(K4649),IF(ISNUMBER(SEARCH(Search!$B$3,$A4650&amp;"")),N(K4649)+1,N(K4649))))</f>
        <v>0</v>
      </c>
    </row>
    <row r="4651" customFormat="false" ht="15" hidden="false" customHeight="false" outlineLevel="0" collapsed="false">
      <c r="K4651" s="24" t="n">
        <f aca="false">IF(Search!$B$3="",0,IF($A4651="",N(K4650),IF(ISNUMBER(SEARCH(Search!$B$3,$A4651&amp;"")),N(K4650)+1,N(K4650))))</f>
        <v>0</v>
      </c>
    </row>
    <row r="4652" customFormat="false" ht="15" hidden="false" customHeight="false" outlineLevel="0" collapsed="false">
      <c r="K4652" s="24" t="n">
        <f aca="false">IF(Search!$B$3="",0,IF($A4652="",N(K4651),IF(ISNUMBER(SEARCH(Search!$B$3,$A4652&amp;"")),N(K4651)+1,N(K4651))))</f>
        <v>0</v>
      </c>
    </row>
    <row r="4653" customFormat="false" ht="15" hidden="false" customHeight="false" outlineLevel="0" collapsed="false">
      <c r="K4653" s="24" t="n">
        <f aca="false">IF(Search!$B$3="",0,IF($A4653="",N(K4652),IF(ISNUMBER(SEARCH(Search!$B$3,$A4653&amp;"")),N(K4652)+1,N(K4652))))</f>
        <v>0</v>
      </c>
    </row>
    <row r="4654" customFormat="false" ht="15" hidden="false" customHeight="false" outlineLevel="0" collapsed="false">
      <c r="K4654" s="24" t="n">
        <f aca="false">IF(Search!$B$3="",0,IF($A4654="",N(K4653),IF(ISNUMBER(SEARCH(Search!$B$3,$A4654&amp;"")),N(K4653)+1,N(K4653))))</f>
        <v>0</v>
      </c>
    </row>
    <row r="4655" customFormat="false" ht="15" hidden="false" customHeight="false" outlineLevel="0" collapsed="false">
      <c r="K4655" s="24" t="n">
        <f aca="false">IF(Search!$B$3="",0,IF($A4655="",N(K4654),IF(ISNUMBER(SEARCH(Search!$B$3,$A4655&amp;"")),N(K4654)+1,N(K4654))))</f>
        <v>0</v>
      </c>
    </row>
    <row r="4656" customFormat="false" ht="15" hidden="false" customHeight="false" outlineLevel="0" collapsed="false">
      <c r="K4656" s="24" t="n">
        <f aca="false">IF(Search!$B$3="",0,IF($A4656="",N(K4655),IF(ISNUMBER(SEARCH(Search!$B$3,$A4656&amp;"")),N(K4655)+1,N(K4655))))</f>
        <v>0</v>
      </c>
    </row>
    <row r="4657" customFormat="false" ht="15" hidden="false" customHeight="false" outlineLevel="0" collapsed="false">
      <c r="K4657" s="24" t="n">
        <f aca="false">IF(Search!$B$3="",0,IF($A4657="",N(K4656),IF(ISNUMBER(SEARCH(Search!$B$3,$A4657&amp;"")),N(K4656)+1,N(K4656))))</f>
        <v>0</v>
      </c>
    </row>
    <row r="4658" customFormat="false" ht="15" hidden="false" customHeight="false" outlineLevel="0" collapsed="false">
      <c r="K4658" s="24" t="n">
        <f aca="false">IF(Search!$B$3="",0,IF($A4658="",N(K4657),IF(ISNUMBER(SEARCH(Search!$B$3,$A4658&amp;"")),N(K4657)+1,N(K4657))))</f>
        <v>0</v>
      </c>
    </row>
    <row r="4659" customFormat="false" ht="15" hidden="false" customHeight="false" outlineLevel="0" collapsed="false">
      <c r="K4659" s="24" t="n">
        <f aca="false">IF(Search!$B$3="",0,IF($A4659="",N(K4658),IF(ISNUMBER(SEARCH(Search!$B$3,$A4659&amp;"")),N(K4658)+1,N(K4658))))</f>
        <v>0</v>
      </c>
    </row>
    <row r="4660" customFormat="false" ht="15" hidden="false" customHeight="false" outlineLevel="0" collapsed="false">
      <c r="K4660" s="24" t="n">
        <f aca="false">IF(Search!$B$3="",0,IF($A4660="",N(K4659),IF(ISNUMBER(SEARCH(Search!$B$3,$A4660&amp;"")),N(K4659)+1,N(K4659))))</f>
        <v>0</v>
      </c>
    </row>
    <row r="4661" customFormat="false" ht="15" hidden="false" customHeight="false" outlineLevel="0" collapsed="false">
      <c r="K4661" s="24" t="n">
        <f aca="false">IF(Search!$B$3="",0,IF($A4661="",N(K4660),IF(ISNUMBER(SEARCH(Search!$B$3,$A4661&amp;"")),N(K4660)+1,N(K4660))))</f>
        <v>0</v>
      </c>
    </row>
    <row r="4662" customFormat="false" ht="15" hidden="false" customHeight="false" outlineLevel="0" collapsed="false">
      <c r="K4662" s="24" t="n">
        <f aca="false">IF(Search!$B$3="",0,IF($A4662="",N(K4661),IF(ISNUMBER(SEARCH(Search!$B$3,$A4662&amp;"")),N(K4661)+1,N(K4661))))</f>
        <v>0</v>
      </c>
    </row>
    <row r="4663" customFormat="false" ht="15" hidden="false" customHeight="false" outlineLevel="0" collapsed="false">
      <c r="K4663" s="24" t="n">
        <f aca="false">IF(Search!$B$3="",0,IF($A4663="",N(K4662),IF(ISNUMBER(SEARCH(Search!$B$3,$A4663&amp;"")),N(K4662)+1,N(K4662))))</f>
        <v>0</v>
      </c>
    </row>
    <row r="4664" customFormat="false" ht="15" hidden="false" customHeight="false" outlineLevel="0" collapsed="false">
      <c r="K4664" s="24" t="n">
        <f aca="false">IF(Search!$B$3="",0,IF($A4664="",N(K4663),IF(ISNUMBER(SEARCH(Search!$B$3,$A4664&amp;"")),N(K4663)+1,N(K4663))))</f>
        <v>0</v>
      </c>
    </row>
    <row r="4665" customFormat="false" ht="15" hidden="false" customHeight="false" outlineLevel="0" collapsed="false">
      <c r="K4665" s="24" t="n">
        <f aca="false">IF(Search!$B$3="",0,IF($A4665="",N(K4664),IF(ISNUMBER(SEARCH(Search!$B$3,$A4665&amp;"")),N(K4664)+1,N(K4664))))</f>
        <v>0</v>
      </c>
    </row>
    <row r="4666" customFormat="false" ht="15" hidden="false" customHeight="false" outlineLevel="0" collapsed="false">
      <c r="K4666" s="24" t="n">
        <f aca="false">IF(Search!$B$3="",0,IF($A4666="",N(K4665),IF(ISNUMBER(SEARCH(Search!$B$3,$A4666&amp;"")),N(K4665)+1,N(K4665))))</f>
        <v>0</v>
      </c>
    </row>
    <row r="4667" customFormat="false" ht="15" hidden="false" customHeight="false" outlineLevel="0" collapsed="false">
      <c r="K4667" s="24" t="n">
        <f aca="false">IF(Search!$B$3="",0,IF($A4667="",N(K4666),IF(ISNUMBER(SEARCH(Search!$B$3,$A4667&amp;"")),N(K4666)+1,N(K4666))))</f>
        <v>0</v>
      </c>
    </row>
    <row r="4668" customFormat="false" ht="15" hidden="false" customHeight="false" outlineLevel="0" collapsed="false">
      <c r="K4668" s="24" t="n">
        <f aca="false">IF(Search!$B$3="",0,IF($A4668="",N(K4667),IF(ISNUMBER(SEARCH(Search!$B$3,$A4668&amp;"")),N(K4667)+1,N(K4667))))</f>
        <v>0</v>
      </c>
    </row>
    <row r="4669" customFormat="false" ht="15" hidden="false" customHeight="false" outlineLevel="0" collapsed="false">
      <c r="K4669" s="24" t="n">
        <f aca="false">IF(Search!$B$3="",0,IF($A4669="",N(K4668),IF(ISNUMBER(SEARCH(Search!$B$3,$A4669&amp;"")),N(K4668)+1,N(K4668))))</f>
        <v>0</v>
      </c>
    </row>
    <row r="4670" customFormat="false" ht="15" hidden="false" customHeight="false" outlineLevel="0" collapsed="false">
      <c r="K4670" s="24" t="n">
        <f aca="false">IF(Search!$B$3="",0,IF($A4670="",N(K4669),IF(ISNUMBER(SEARCH(Search!$B$3,$A4670&amp;"")),N(K4669)+1,N(K4669))))</f>
        <v>0</v>
      </c>
    </row>
    <row r="4671" customFormat="false" ht="15" hidden="false" customHeight="false" outlineLevel="0" collapsed="false">
      <c r="K4671" s="24" t="n">
        <f aca="false">IF(Search!$B$3="",0,IF($A4671="",N(K4670),IF(ISNUMBER(SEARCH(Search!$B$3,$A4671&amp;"")),N(K4670)+1,N(K4670))))</f>
        <v>0</v>
      </c>
    </row>
    <row r="4672" customFormat="false" ht="15" hidden="false" customHeight="false" outlineLevel="0" collapsed="false">
      <c r="K4672" s="24" t="n">
        <f aca="false">IF(Search!$B$3="",0,IF($A4672="",N(K4671),IF(ISNUMBER(SEARCH(Search!$B$3,$A4672&amp;"")),N(K4671)+1,N(K4671))))</f>
        <v>0</v>
      </c>
    </row>
    <row r="4673" customFormat="false" ht="15" hidden="false" customHeight="false" outlineLevel="0" collapsed="false">
      <c r="K4673" s="24" t="n">
        <f aca="false">IF(Search!$B$3="",0,IF($A4673="",N(K4672),IF(ISNUMBER(SEARCH(Search!$B$3,$A4673&amp;"")),N(K4672)+1,N(K4672))))</f>
        <v>0</v>
      </c>
    </row>
    <row r="4674" customFormat="false" ht="15" hidden="false" customHeight="false" outlineLevel="0" collapsed="false">
      <c r="K4674" s="24" t="n">
        <f aca="false">IF(Search!$B$3="",0,IF($A4674="",N(K4673),IF(ISNUMBER(SEARCH(Search!$B$3,$A4674&amp;"")),N(K4673)+1,N(K4673))))</f>
        <v>0</v>
      </c>
    </row>
    <row r="4675" customFormat="false" ht="15" hidden="false" customHeight="false" outlineLevel="0" collapsed="false">
      <c r="K4675" s="24" t="n">
        <f aca="false">IF(Search!$B$3="",0,IF($A4675="",N(K4674),IF(ISNUMBER(SEARCH(Search!$B$3,$A4675&amp;"")),N(K4674)+1,N(K4674))))</f>
        <v>0</v>
      </c>
    </row>
    <row r="4676" customFormat="false" ht="15" hidden="false" customHeight="false" outlineLevel="0" collapsed="false">
      <c r="K4676" s="24" t="n">
        <f aca="false">IF(Search!$B$3="",0,IF($A4676="",N(K4675),IF(ISNUMBER(SEARCH(Search!$B$3,$A4676&amp;"")),N(K4675)+1,N(K4675))))</f>
        <v>0</v>
      </c>
    </row>
    <row r="4677" customFormat="false" ht="15" hidden="false" customHeight="false" outlineLevel="0" collapsed="false">
      <c r="K4677" s="24" t="n">
        <f aca="false">IF(Search!$B$3="",0,IF($A4677="",N(K4676),IF(ISNUMBER(SEARCH(Search!$B$3,$A4677&amp;"")),N(K4676)+1,N(K4676))))</f>
        <v>0</v>
      </c>
    </row>
    <row r="4678" customFormat="false" ht="15" hidden="false" customHeight="false" outlineLevel="0" collapsed="false">
      <c r="K4678" s="24" t="n">
        <f aca="false">IF(Search!$B$3="",0,IF($A4678="",N(K4677),IF(ISNUMBER(SEARCH(Search!$B$3,$A4678&amp;"")),N(K4677)+1,N(K4677))))</f>
        <v>0</v>
      </c>
    </row>
    <row r="4679" customFormat="false" ht="15" hidden="false" customHeight="false" outlineLevel="0" collapsed="false">
      <c r="K4679" s="24" t="n">
        <f aca="false">IF(Search!$B$3="",0,IF($A4679="",N(K4678),IF(ISNUMBER(SEARCH(Search!$B$3,$A4679&amp;"")),N(K4678)+1,N(K4678))))</f>
        <v>0</v>
      </c>
    </row>
    <row r="4680" customFormat="false" ht="15" hidden="false" customHeight="false" outlineLevel="0" collapsed="false">
      <c r="K4680" s="24" t="n">
        <f aca="false">IF(Search!$B$3="",0,IF($A4680="",N(K4679),IF(ISNUMBER(SEARCH(Search!$B$3,$A4680&amp;"")),N(K4679)+1,N(K4679))))</f>
        <v>0</v>
      </c>
    </row>
    <row r="4681" customFormat="false" ht="15" hidden="false" customHeight="false" outlineLevel="0" collapsed="false">
      <c r="K4681" s="24" t="n">
        <f aca="false">IF(Search!$B$3="",0,IF($A4681="",N(K4680),IF(ISNUMBER(SEARCH(Search!$B$3,$A4681&amp;"")),N(K4680)+1,N(K4680))))</f>
        <v>0</v>
      </c>
    </row>
    <row r="4682" customFormat="false" ht="15" hidden="false" customHeight="false" outlineLevel="0" collapsed="false">
      <c r="K4682" s="24" t="n">
        <f aca="false">IF(Search!$B$3="",0,IF($A4682="",N(K4681),IF(ISNUMBER(SEARCH(Search!$B$3,$A4682&amp;"")),N(K4681)+1,N(K4681))))</f>
        <v>0</v>
      </c>
    </row>
    <row r="4683" customFormat="false" ht="15" hidden="false" customHeight="false" outlineLevel="0" collapsed="false">
      <c r="K4683" s="24" t="n">
        <f aca="false">IF(Search!$B$3="",0,IF($A4683="",N(K4682),IF(ISNUMBER(SEARCH(Search!$B$3,$A4683&amp;"")),N(K4682)+1,N(K4682))))</f>
        <v>0</v>
      </c>
    </row>
    <row r="4684" customFormat="false" ht="15" hidden="false" customHeight="false" outlineLevel="0" collapsed="false">
      <c r="K4684" s="24" t="n">
        <f aca="false">IF(Search!$B$3="",0,IF($A4684="",N(K4683),IF(ISNUMBER(SEARCH(Search!$B$3,$A4684&amp;"")),N(K4683)+1,N(K4683))))</f>
        <v>0</v>
      </c>
    </row>
    <row r="4685" customFormat="false" ht="15" hidden="false" customHeight="false" outlineLevel="0" collapsed="false">
      <c r="K4685" s="24" t="n">
        <f aca="false">IF(Search!$B$3="",0,IF($A4685="",N(K4684),IF(ISNUMBER(SEARCH(Search!$B$3,$A4685&amp;"")),N(K4684)+1,N(K4684))))</f>
        <v>0</v>
      </c>
    </row>
    <row r="4686" customFormat="false" ht="15" hidden="false" customHeight="false" outlineLevel="0" collapsed="false">
      <c r="K4686" s="24" t="n">
        <f aca="false">IF(Search!$B$3="",0,IF($A4686="",N(K4685),IF(ISNUMBER(SEARCH(Search!$B$3,$A4686&amp;"")),N(K4685)+1,N(K4685))))</f>
        <v>0</v>
      </c>
    </row>
    <row r="4687" customFormat="false" ht="15" hidden="false" customHeight="false" outlineLevel="0" collapsed="false">
      <c r="K4687" s="24" t="n">
        <f aca="false">IF(Search!$B$3="",0,IF($A4687="",N(K4686),IF(ISNUMBER(SEARCH(Search!$B$3,$A4687&amp;"")),N(K4686)+1,N(K4686))))</f>
        <v>0</v>
      </c>
    </row>
    <row r="4688" customFormat="false" ht="15" hidden="false" customHeight="false" outlineLevel="0" collapsed="false">
      <c r="K4688" s="24" t="n">
        <f aca="false">IF(Search!$B$3="",0,IF($A4688="",N(K4687),IF(ISNUMBER(SEARCH(Search!$B$3,$A4688&amp;"")),N(K4687)+1,N(K4687))))</f>
        <v>0</v>
      </c>
    </row>
    <row r="4689" customFormat="false" ht="15" hidden="false" customHeight="false" outlineLevel="0" collapsed="false">
      <c r="K4689" s="24" t="n">
        <f aca="false">IF(Search!$B$3="",0,IF($A4689="",N(K4688),IF(ISNUMBER(SEARCH(Search!$B$3,$A4689&amp;"")),N(K4688)+1,N(K4688))))</f>
        <v>0</v>
      </c>
    </row>
    <row r="4690" customFormat="false" ht="15" hidden="false" customHeight="false" outlineLevel="0" collapsed="false">
      <c r="K4690" s="24" t="n">
        <f aca="false">IF(Search!$B$3="",0,IF($A4690="",N(K4689),IF(ISNUMBER(SEARCH(Search!$B$3,$A4690&amp;"")),N(K4689)+1,N(K4689))))</f>
        <v>0</v>
      </c>
    </row>
    <row r="4691" customFormat="false" ht="15" hidden="false" customHeight="false" outlineLevel="0" collapsed="false">
      <c r="K4691" s="24" t="n">
        <f aca="false">IF(Search!$B$3="",0,IF($A4691="",N(K4690),IF(ISNUMBER(SEARCH(Search!$B$3,$A4691&amp;"")),N(K4690)+1,N(K4690))))</f>
        <v>0</v>
      </c>
    </row>
    <row r="4692" customFormat="false" ht="15" hidden="false" customHeight="false" outlineLevel="0" collapsed="false">
      <c r="K4692" s="24" t="n">
        <f aca="false">IF(Search!$B$3="",0,IF($A4692="",N(K4691),IF(ISNUMBER(SEARCH(Search!$B$3,$A4692&amp;"")),N(K4691)+1,N(K4691))))</f>
        <v>0</v>
      </c>
    </row>
    <row r="4693" customFormat="false" ht="15" hidden="false" customHeight="false" outlineLevel="0" collapsed="false">
      <c r="K4693" s="24" t="n">
        <f aca="false">IF(Search!$B$3="",0,IF($A4693="",N(K4692),IF(ISNUMBER(SEARCH(Search!$B$3,$A4693&amp;"")),N(K4692)+1,N(K4692))))</f>
        <v>0</v>
      </c>
    </row>
    <row r="4694" customFormat="false" ht="15" hidden="false" customHeight="false" outlineLevel="0" collapsed="false">
      <c r="K4694" s="24" t="n">
        <f aca="false">IF(Search!$B$3="",0,IF($A4694="",N(K4693),IF(ISNUMBER(SEARCH(Search!$B$3,$A4694&amp;"")),N(K4693)+1,N(K4693))))</f>
        <v>0</v>
      </c>
    </row>
    <row r="4695" customFormat="false" ht="15" hidden="false" customHeight="false" outlineLevel="0" collapsed="false">
      <c r="K4695" s="24" t="n">
        <f aca="false">IF(Search!$B$3="",0,IF($A4695="",N(K4694),IF(ISNUMBER(SEARCH(Search!$B$3,$A4695&amp;"")),N(K4694)+1,N(K4694))))</f>
        <v>0</v>
      </c>
    </row>
    <row r="4696" customFormat="false" ht="15" hidden="false" customHeight="false" outlineLevel="0" collapsed="false">
      <c r="K4696" s="24" t="n">
        <f aca="false">IF(Search!$B$3="",0,IF($A4696="",N(K4695),IF(ISNUMBER(SEARCH(Search!$B$3,$A4696&amp;"")),N(K4695)+1,N(K4695))))</f>
        <v>0</v>
      </c>
    </row>
    <row r="4697" customFormat="false" ht="15" hidden="false" customHeight="false" outlineLevel="0" collapsed="false">
      <c r="K4697" s="24" t="n">
        <f aca="false">IF(Search!$B$3="",0,IF($A4697="",N(K4696),IF(ISNUMBER(SEARCH(Search!$B$3,$A4697&amp;"")),N(K4696)+1,N(K4696))))</f>
        <v>0</v>
      </c>
    </row>
    <row r="4698" customFormat="false" ht="15" hidden="false" customHeight="false" outlineLevel="0" collapsed="false">
      <c r="K4698" s="24" t="n">
        <f aca="false">IF(Search!$B$3="",0,IF($A4698="",N(K4697),IF(ISNUMBER(SEARCH(Search!$B$3,$A4698&amp;"")),N(K4697)+1,N(K4697))))</f>
        <v>0</v>
      </c>
    </row>
    <row r="4699" customFormat="false" ht="15" hidden="false" customHeight="false" outlineLevel="0" collapsed="false">
      <c r="K4699" s="24" t="n">
        <f aca="false">IF(Search!$B$3="",0,IF($A4699="",N(K4698),IF(ISNUMBER(SEARCH(Search!$B$3,$A4699&amp;"")),N(K4698)+1,N(K4698))))</f>
        <v>0</v>
      </c>
    </row>
    <row r="4700" customFormat="false" ht="15" hidden="false" customHeight="false" outlineLevel="0" collapsed="false">
      <c r="K4700" s="24" t="n">
        <f aca="false">IF(Search!$B$3="",0,IF($A4700="",N(K4699),IF(ISNUMBER(SEARCH(Search!$B$3,$A4700&amp;"")),N(K4699)+1,N(K4699))))</f>
        <v>0</v>
      </c>
    </row>
    <row r="4701" customFormat="false" ht="15" hidden="false" customHeight="false" outlineLevel="0" collapsed="false">
      <c r="K4701" s="24" t="n">
        <f aca="false">IF(Search!$B$3="",0,IF($A4701="",N(K4700),IF(ISNUMBER(SEARCH(Search!$B$3,$A4701&amp;"")),N(K4700)+1,N(K4700))))</f>
        <v>0</v>
      </c>
    </row>
    <row r="4702" customFormat="false" ht="15" hidden="false" customHeight="false" outlineLevel="0" collapsed="false">
      <c r="K4702" s="24" t="n">
        <f aca="false">IF(Search!$B$3="",0,IF($A4702="",N(K4701),IF(ISNUMBER(SEARCH(Search!$B$3,$A4702&amp;"")),N(K4701)+1,N(K4701))))</f>
        <v>0</v>
      </c>
    </row>
    <row r="4703" customFormat="false" ht="15" hidden="false" customHeight="false" outlineLevel="0" collapsed="false">
      <c r="K4703" s="24" t="n">
        <f aca="false">IF(Search!$B$3="",0,IF($A4703="",N(K4702),IF(ISNUMBER(SEARCH(Search!$B$3,$A4703&amp;"")),N(K4702)+1,N(K4702))))</f>
        <v>0</v>
      </c>
    </row>
    <row r="4704" customFormat="false" ht="15" hidden="false" customHeight="false" outlineLevel="0" collapsed="false">
      <c r="K4704" s="24" t="n">
        <f aca="false">IF(Search!$B$3="",0,IF($A4704="",N(K4703),IF(ISNUMBER(SEARCH(Search!$B$3,$A4704&amp;"")),N(K4703)+1,N(K4703))))</f>
        <v>0</v>
      </c>
    </row>
    <row r="4705" customFormat="false" ht="15" hidden="false" customHeight="false" outlineLevel="0" collapsed="false">
      <c r="K4705" s="24" t="n">
        <f aca="false">IF(Search!$B$3="",0,IF($A4705="",N(K4704),IF(ISNUMBER(SEARCH(Search!$B$3,$A4705&amp;"")),N(K4704)+1,N(K4704))))</f>
        <v>0</v>
      </c>
    </row>
    <row r="4706" customFormat="false" ht="15" hidden="false" customHeight="false" outlineLevel="0" collapsed="false">
      <c r="K4706" s="24" t="n">
        <f aca="false">IF(Search!$B$3="",0,IF($A4706="",N(K4705),IF(ISNUMBER(SEARCH(Search!$B$3,$A4706&amp;"")),N(K4705)+1,N(K4705))))</f>
        <v>0</v>
      </c>
    </row>
    <row r="4707" customFormat="false" ht="15" hidden="false" customHeight="false" outlineLevel="0" collapsed="false">
      <c r="K4707" s="24" t="n">
        <f aca="false">IF(Search!$B$3="",0,IF($A4707="",N(K4706),IF(ISNUMBER(SEARCH(Search!$B$3,$A4707&amp;"")),N(K4706)+1,N(K4706))))</f>
        <v>0</v>
      </c>
    </row>
    <row r="4708" customFormat="false" ht="15" hidden="false" customHeight="false" outlineLevel="0" collapsed="false">
      <c r="K4708" s="24" t="n">
        <f aca="false">IF(Search!$B$3="",0,IF($A4708="",N(K4707),IF(ISNUMBER(SEARCH(Search!$B$3,$A4708&amp;"")),N(K4707)+1,N(K4707))))</f>
        <v>0</v>
      </c>
    </row>
    <row r="4709" customFormat="false" ht="15" hidden="false" customHeight="false" outlineLevel="0" collapsed="false">
      <c r="K4709" s="24" t="n">
        <f aca="false">IF(Search!$B$3="",0,IF($A4709="",N(K4708),IF(ISNUMBER(SEARCH(Search!$B$3,$A4709&amp;"")),N(K4708)+1,N(K4708))))</f>
        <v>0</v>
      </c>
    </row>
    <row r="4710" customFormat="false" ht="15" hidden="false" customHeight="false" outlineLevel="0" collapsed="false">
      <c r="K4710" s="24" t="n">
        <f aca="false">IF(Search!$B$3="",0,IF($A4710="",N(K4709),IF(ISNUMBER(SEARCH(Search!$B$3,$A4710&amp;"")),N(K4709)+1,N(K4709))))</f>
        <v>0</v>
      </c>
    </row>
    <row r="4711" customFormat="false" ht="15" hidden="false" customHeight="false" outlineLevel="0" collapsed="false">
      <c r="K4711" s="24" t="n">
        <f aca="false">IF(Search!$B$3="",0,IF($A4711="",N(K4710),IF(ISNUMBER(SEARCH(Search!$B$3,$A4711&amp;"")),N(K4710)+1,N(K4710))))</f>
        <v>0</v>
      </c>
    </row>
    <row r="4712" customFormat="false" ht="15" hidden="false" customHeight="false" outlineLevel="0" collapsed="false">
      <c r="K4712" s="24" t="n">
        <f aca="false">IF(Search!$B$3="",0,IF($A4712="",N(K4711),IF(ISNUMBER(SEARCH(Search!$B$3,$A4712&amp;"")),N(K4711)+1,N(K4711))))</f>
        <v>0</v>
      </c>
    </row>
    <row r="4713" customFormat="false" ht="15" hidden="false" customHeight="false" outlineLevel="0" collapsed="false">
      <c r="K4713" s="24" t="n">
        <f aca="false">IF(Search!$B$3="",0,IF($A4713="",N(K4712),IF(ISNUMBER(SEARCH(Search!$B$3,$A4713&amp;"")),N(K4712)+1,N(K4712))))</f>
        <v>0</v>
      </c>
    </row>
    <row r="4714" customFormat="false" ht="15" hidden="false" customHeight="false" outlineLevel="0" collapsed="false">
      <c r="K4714" s="24" t="n">
        <f aca="false">IF(Search!$B$3="",0,IF($A4714="",N(K4713),IF(ISNUMBER(SEARCH(Search!$B$3,$A4714&amp;"")),N(K4713)+1,N(K4713))))</f>
        <v>0</v>
      </c>
    </row>
    <row r="4715" customFormat="false" ht="15" hidden="false" customHeight="false" outlineLevel="0" collapsed="false">
      <c r="K4715" s="24" t="n">
        <f aca="false">IF(Search!$B$3="",0,IF($A4715="",N(K4714),IF(ISNUMBER(SEARCH(Search!$B$3,$A4715&amp;"")),N(K4714)+1,N(K4714))))</f>
        <v>0</v>
      </c>
    </row>
    <row r="4716" customFormat="false" ht="15" hidden="false" customHeight="false" outlineLevel="0" collapsed="false">
      <c r="K4716" s="24" t="n">
        <f aca="false">IF(Search!$B$3="",0,IF($A4716="",N(K4715),IF(ISNUMBER(SEARCH(Search!$B$3,$A4716&amp;"")),N(K4715)+1,N(K4715))))</f>
        <v>0</v>
      </c>
    </row>
    <row r="4717" customFormat="false" ht="15" hidden="false" customHeight="false" outlineLevel="0" collapsed="false">
      <c r="K4717" s="24" t="n">
        <f aca="false">IF(Search!$B$3="",0,IF($A4717="",N(K4716),IF(ISNUMBER(SEARCH(Search!$B$3,$A4717&amp;"")),N(K4716)+1,N(K4716))))</f>
        <v>0</v>
      </c>
    </row>
    <row r="4718" customFormat="false" ht="15" hidden="false" customHeight="false" outlineLevel="0" collapsed="false">
      <c r="K4718" s="24" t="n">
        <f aca="false">IF(Search!$B$3="",0,IF($A4718="",N(K4717),IF(ISNUMBER(SEARCH(Search!$B$3,$A4718&amp;"")),N(K4717)+1,N(K4717))))</f>
        <v>0</v>
      </c>
    </row>
    <row r="4719" customFormat="false" ht="15" hidden="false" customHeight="false" outlineLevel="0" collapsed="false">
      <c r="K4719" s="24" t="n">
        <f aca="false">IF(Search!$B$3="",0,IF($A4719="",N(K4718),IF(ISNUMBER(SEARCH(Search!$B$3,$A4719&amp;"")),N(K4718)+1,N(K4718))))</f>
        <v>0</v>
      </c>
    </row>
    <row r="4720" customFormat="false" ht="15" hidden="false" customHeight="false" outlineLevel="0" collapsed="false">
      <c r="K4720" s="24" t="n">
        <f aca="false">IF(Search!$B$3="",0,IF($A4720="",N(K4719),IF(ISNUMBER(SEARCH(Search!$B$3,$A4720&amp;"")),N(K4719)+1,N(K4719))))</f>
        <v>0</v>
      </c>
    </row>
    <row r="4721" customFormat="false" ht="15" hidden="false" customHeight="false" outlineLevel="0" collapsed="false">
      <c r="K4721" s="24" t="n">
        <f aca="false">IF(Search!$B$3="",0,IF($A4721="",N(K4720),IF(ISNUMBER(SEARCH(Search!$B$3,$A4721&amp;"")),N(K4720)+1,N(K4720))))</f>
        <v>0</v>
      </c>
    </row>
    <row r="4722" customFormat="false" ht="15" hidden="false" customHeight="false" outlineLevel="0" collapsed="false">
      <c r="K4722" s="24" t="n">
        <f aca="false">IF(Search!$B$3="",0,IF($A4722="",N(K4721),IF(ISNUMBER(SEARCH(Search!$B$3,$A4722&amp;"")),N(K4721)+1,N(K4721))))</f>
        <v>0</v>
      </c>
    </row>
    <row r="4723" customFormat="false" ht="15" hidden="false" customHeight="false" outlineLevel="0" collapsed="false">
      <c r="K4723" s="24" t="n">
        <f aca="false">IF(Search!$B$3="",0,IF($A4723="",N(K4722),IF(ISNUMBER(SEARCH(Search!$B$3,$A4723&amp;"")),N(K4722)+1,N(K4722))))</f>
        <v>0</v>
      </c>
    </row>
    <row r="4724" customFormat="false" ht="15" hidden="false" customHeight="false" outlineLevel="0" collapsed="false">
      <c r="K4724" s="24" t="n">
        <f aca="false">IF(Search!$B$3="",0,IF($A4724="",N(K4723),IF(ISNUMBER(SEARCH(Search!$B$3,$A4724&amp;"")),N(K4723)+1,N(K4723))))</f>
        <v>0</v>
      </c>
    </row>
    <row r="4725" customFormat="false" ht="15" hidden="false" customHeight="false" outlineLevel="0" collapsed="false">
      <c r="K4725" s="24" t="n">
        <f aca="false">IF(Search!$B$3="",0,IF($A4725="",N(K4724),IF(ISNUMBER(SEARCH(Search!$B$3,$A4725&amp;"")),N(K4724)+1,N(K4724))))</f>
        <v>0</v>
      </c>
    </row>
    <row r="4726" customFormat="false" ht="15" hidden="false" customHeight="false" outlineLevel="0" collapsed="false">
      <c r="K4726" s="24" t="n">
        <f aca="false">IF(Search!$B$3="",0,IF($A4726="",N(K4725),IF(ISNUMBER(SEARCH(Search!$B$3,$A4726&amp;"")),N(K4725)+1,N(K4725))))</f>
        <v>0</v>
      </c>
    </row>
    <row r="4727" customFormat="false" ht="15" hidden="false" customHeight="false" outlineLevel="0" collapsed="false">
      <c r="K4727" s="24" t="n">
        <f aca="false">IF(Search!$B$3="",0,IF($A4727="",N(K4726),IF(ISNUMBER(SEARCH(Search!$B$3,$A4727&amp;"")),N(K4726)+1,N(K4726))))</f>
        <v>0</v>
      </c>
    </row>
    <row r="4728" customFormat="false" ht="15" hidden="false" customHeight="false" outlineLevel="0" collapsed="false">
      <c r="K4728" s="24" t="n">
        <f aca="false">IF(Search!$B$3="",0,IF($A4728="",N(K4727),IF(ISNUMBER(SEARCH(Search!$B$3,$A4728&amp;"")),N(K4727)+1,N(K4727))))</f>
        <v>0</v>
      </c>
    </row>
    <row r="4729" customFormat="false" ht="15" hidden="false" customHeight="false" outlineLevel="0" collapsed="false">
      <c r="K4729" s="24" t="n">
        <f aca="false">IF(Search!$B$3="",0,IF($A4729="",N(K4728),IF(ISNUMBER(SEARCH(Search!$B$3,$A4729&amp;"")),N(K4728)+1,N(K4728))))</f>
        <v>0</v>
      </c>
    </row>
    <row r="4730" customFormat="false" ht="15" hidden="false" customHeight="false" outlineLevel="0" collapsed="false">
      <c r="K4730" s="24" t="n">
        <f aca="false">IF(Search!$B$3="",0,IF($A4730="",N(K4729),IF(ISNUMBER(SEARCH(Search!$B$3,$A4730&amp;"")),N(K4729)+1,N(K4729))))</f>
        <v>0</v>
      </c>
    </row>
    <row r="4731" customFormat="false" ht="15" hidden="false" customHeight="false" outlineLevel="0" collapsed="false">
      <c r="K4731" s="24" t="n">
        <f aca="false">IF(Search!$B$3="",0,IF($A4731="",N(K4730),IF(ISNUMBER(SEARCH(Search!$B$3,$A4731&amp;"")),N(K4730)+1,N(K4730))))</f>
        <v>0</v>
      </c>
    </row>
    <row r="4732" customFormat="false" ht="15" hidden="false" customHeight="false" outlineLevel="0" collapsed="false">
      <c r="K4732" s="24" t="n">
        <f aca="false">IF(Search!$B$3="",0,IF($A4732="",N(K4731),IF(ISNUMBER(SEARCH(Search!$B$3,$A4732&amp;"")),N(K4731)+1,N(K4731))))</f>
        <v>0</v>
      </c>
    </row>
    <row r="4733" customFormat="false" ht="15" hidden="false" customHeight="false" outlineLevel="0" collapsed="false">
      <c r="K4733" s="24" t="n">
        <f aca="false">IF(Search!$B$3="",0,IF($A4733="",N(K4732),IF(ISNUMBER(SEARCH(Search!$B$3,$A4733&amp;"")),N(K4732)+1,N(K4732))))</f>
        <v>0</v>
      </c>
    </row>
    <row r="4734" customFormat="false" ht="15" hidden="false" customHeight="false" outlineLevel="0" collapsed="false">
      <c r="K4734" s="24" t="n">
        <f aca="false">IF(Search!$B$3="",0,IF($A4734="",N(K4733),IF(ISNUMBER(SEARCH(Search!$B$3,$A4734&amp;"")),N(K4733)+1,N(K4733))))</f>
        <v>0</v>
      </c>
    </row>
    <row r="4735" customFormat="false" ht="15" hidden="false" customHeight="false" outlineLevel="0" collapsed="false">
      <c r="K4735" s="24" t="n">
        <f aca="false">IF(Search!$B$3="",0,IF($A4735="",N(K4734),IF(ISNUMBER(SEARCH(Search!$B$3,$A4735&amp;"")),N(K4734)+1,N(K4734))))</f>
        <v>0</v>
      </c>
    </row>
    <row r="4736" customFormat="false" ht="15" hidden="false" customHeight="false" outlineLevel="0" collapsed="false">
      <c r="K4736" s="24" t="n">
        <f aca="false">IF(Search!$B$3="",0,IF($A4736="",N(K4735),IF(ISNUMBER(SEARCH(Search!$B$3,$A4736&amp;"")),N(K4735)+1,N(K4735))))</f>
        <v>0</v>
      </c>
    </row>
    <row r="4737" customFormat="false" ht="15" hidden="false" customHeight="false" outlineLevel="0" collapsed="false">
      <c r="K4737" s="24" t="n">
        <f aca="false">IF(Search!$B$3="",0,IF($A4737="",N(K4736),IF(ISNUMBER(SEARCH(Search!$B$3,$A4737&amp;"")),N(K4736)+1,N(K4736))))</f>
        <v>0</v>
      </c>
    </row>
    <row r="4738" customFormat="false" ht="15" hidden="false" customHeight="false" outlineLevel="0" collapsed="false">
      <c r="K4738" s="24" t="n">
        <f aca="false">IF(Search!$B$3="",0,IF($A4738="",N(K4737),IF(ISNUMBER(SEARCH(Search!$B$3,$A4738&amp;"")),N(K4737)+1,N(K4737))))</f>
        <v>0</v>
      </c>
    </row>
    <row r="4739" customFormat="false" ht="15" hidden="false" customHeight="false" outlineLevel="0" collapsed="false">
      <c r="K4739" s="24" t="n">
        <f aca="false">IF(Search!$B$3="",0,IF($A4739="",N(K4738),IF(ISNUMBER(SEARCH(Search!$B$3,$A4739&amp;"")),N(K4738)+1,N(K4738))))</f>
        <v>0</v>
      </c>
    </row>
    <row r="4740" customFormat="false" ht="15" hidden="false" customHeight="false" outlineLevel="0" collapsed="false">
      <c r="K4740" s="24" t="n">
        <f aca="false">IF(Search!$B$3="",0,IF($A4740="",N(K4739),IF(ISNUMBER(SEARCH(Search!$B$3,$A4740&amp;"")),N(K4739)+1,N(K4739))))</f>
        <v>0</v>
      </c>
    </row>
    <row r="4741" customFormat="false" ht="15" hidden="false" customHeight="false" outlineLevel="0" collapsed="false">
      <c r="K4741" s="24" t="n">
        <f aca="false">IF(Search!$B$3="",0,IF($A4741="",N(K4740),IF(ISNUMBER(SEARCH(Search!$B$3,$A4741&amp;"")),N(K4740)+1,N(K4740))))</f>
        <v>0</v>
      </c>
    </row>
    <row r="4742" customFormat="false" ht="15" hidden="false" customHeight="false" outlineLevel="0" collapsed="false">
      <c r="K4742" s="24" t="n">
        <f aca="false">IF(Search!$B$3="",0,IF($A4742="",N(K4741),IF(ISNUMBER(SEARCH(Search!$B$3,$A4742&amp;"")),N(K4741)+1,N(K4741))))</f>
        <v>0</v>
      </c>
    </row>
    <row r="4743" customFormat="false" ht="15" hidden="false" customHeight="false" outlineLevel="0" collapsed="false">
      <c r="K4743" s="24" t="n">
        <f aca="false">IF(Search!$B$3="",0,IF($A4743="",N(K4742),IF(ISNUMBER(SEARCH(Search!$B$3,$A4743&amp;"")),N(K4742)+1,N(K4742))))</f>
        <v>0</v>
      </c>
    </row>
    <row r="4744" customFormat="false" ht="15" hidden="false" customHeight="false" outlineLevel="0" collapsed="false">
      <c r="K4744" s="24" t="n">
        <f aca="false">IF(Search!$B$3="",0,IF($A4744="",N(K4743),IF(ISNUMBER(SEARCH(Search!$B$3,$A4744&amp;"")),N(K4743)+1,N(K4743))))</f>
        <v>0</v>
      </c>
    </row>
    <row r="4745" customFormat="false" ht="15" hidden="false" customHeight="false" outlineLevel="0" collapsed="false">
      <c r="K4745" s="24" t="n">
        <f aca="false">IF(Search!$B$3="",0,IF($A4745="",N(K4744),IF(ISNUMBER(SEARCH(Search!$B$3,$A4745&amp;"")),N(K4744)+1,N(K4744))))</f>
        <v>0</v>
      </c>
    </row>
    <row r="4746" customFormat="false" ht="15" hidden="false" customHeight="false" outlineLevel="0" collapsed="false">
      <c r="K4746" s="24" t="n">
        <f aca="false">IF(Search!$B$3="",0,IF($A4746="",N(K4745),IF(ISNUMBER(SEARCH(Search!$B$3,$A4746&amp;"")),N(K4745)+1,N(K4745))))</f>
        <v>0</v>
      </c>
    </row>
    <row r="4747" customFormat="false" ht="15" hidden="false" customHeight="false" outlineLevel="0" collapsed="false">
      <c r="K4747" s="24" t="n">
        <f aca="false">IF(Search!$B$3="",0,IF($A4747="",N(K4746),IF(ISNUMBER(SEARCH(Search!$B$3,$A4747&amp;"")),N(K4746)+1,N(K4746))))</f>
        <v>0</v>
      </c>
    </row>
    <row r="4748" customFormat="false" ht="15" hidden="false" customHeight="false" outlineLevel="0" collapsed="false">
      <c r="K4748" s="24" t="n">
        <f aca="false">IF(Search!$B$3="",0,IF($A4748="",N(K4747),IF(ISNUMBER(SEARCH(Search!$B$3,$A4748&amp;"")),N(K4747)+1,N(K4747))))</f>
        <v>0</v>
      </c>
    </row>
    <row r="4749" customFormat="false" ht="15" hidden="false" customHeight="false" outlineLevel="0" collapsed="false">
      <c r="K4749" s="24" t="n">
        <f aca="false">IF(Search!$B$3="",0,IF($A4749="",N(K4748),IF(ISNUMBER(SEARCH(Search!$B$3,$A4749&amp;"")),N(K4748)+1,N(K4748))))</f>
        <v>0</v>
      </c>
    </row>
    <row r="4750" customFormat="false" ht="15" hidden="false" customHeight="false" outlineLevel="0" collapsed="false">
      <c r="K4750" s="24" t="n">
        <f aca="false">IF(Search!$B$3="",0,IF($A4750="",N(K4749),IF(ISNUMBER(SEARCH(Search!$B$3,$A4750&amp;"")),N(K4749)+1,N(K4749))))</f>
        <v>0</v>
      </c>
    </row>
    <row r="4751" customFormat="false" ht="15" hidden="false" customHeight="false" outlineLevel="0" collapsed="false">
      <c r="K4751" s="24" t="n">
        <f aca="false">IF(Search!$B$3="",0,IF($A4751="",N(K4750),IF(ISNUMBER(SEARCH(Search!$B$3,$A4751&amp;"")),N(K4750)+1,N(K4750))))</f>
        <v>0</v>
      </c>
    </row>
    <row r="4752" customFormat="false" ht="15" hidden="false" customHeight="false" outlineLevel="0" collapsed="false">
      <c r="K4752" s="24" t="n">
        <f aca="false">IF(Search!$B$3="",0,IF($A4752="",N(K4751),IF(ISNUMBER(SEARCH(Search!$B$3,$A4752&amp;"")),N(K4751)+1,N(K4751))))</f>
        <v>0</v>
      </c>
    </row>
    <row r="4753" customFormat="false" ht="15" hidden="false" customHeight="false" outlineLevel="0" collapsed="false">
      <c r="K4753" s="24" t="n">
        <f aca="false">IF(Search!$B$3="",0,IF($A4753="",N(K4752),IF(ISNUMBER(SEARCH(Search!$B$3,$A4753&amp;"")),N(K4752)+1,N(K4752))))</f>
        <v>0</v>
      </c>
    </row>
    <row r="4754" customFormat="false" ht="15" hidden="false" customHeight="false" outlineLevel="0" collapsed="false">
      <c r="K4754" s="24" t="n">
        <f aca="false">IF(Search!$B$3="",0,IF($A4754="",N(K4753),IF(ISNUMBER(SEARCH(Search!$B$3,$A4754&amp;"")),N(K4753)+1,N(K4753))))</f>
        <v>0</v>
      </c>
    </row>
    <row r="4755" customFormat="false" ht="15" hidden="false" customHeight="false" outlineLevel="0" collapsed="false">
      <c r="K4755" s="24" t="n">
        <f aca="false">IF(Search!$B$3="",0,IF($A4755="",N(K4754),IF(ISNUMBER(SEARCH(Search!$B$3,$A4755&amp;"")),N(K4754)+1,N(K4754))))</f>
        <v>0</v>
      </c>
    </row>
    <row r="4756" customFormat="false" ht="15" hidden="false" customHeight="false" outlineLevel="0" collapsed="false">
      <c r="K4756" s="24" t="n">
        <f aca="false">IF(Search!$B$3="",0,IF($A4756="",N(K4755),IF(ISNUMBER(SEARCH(Search!$B$3,$A4756&amp;"")),N(K4755)+1,N(K4755))))</f>
        <v>0</v>
      </c>
    </row>
    <row r="4757" customFormat="false" ht="15" hidden="false" customHeight="false" outlineLevel="0" collapsed="false">
      <c r="K4757" s="24" t="n">
        <f aca="false">IF(Search!$B$3="",0,IF($A4757="",N(K4756),IF(ISNUMBER(SEARCH(Search!$B$3,$A4757&amp;"")),N(K4756)+1,N(K4756))))</f>
        <v>0</v>
      </c>
    </row>
    <row r="4758" customFormat="false" ht="15" hidden="false" customHeight="false" outlineLevel="0" collapsed="false">
      <c r="K4758" s="24" t="n">
        <f aca="false">IF(Search!$B$3="",0,IF($A4758="",N(K4757),IF(ISNUMBER(SEARCH(Search!$B$3,$A4758&amp;"")),N(K4757)+1,N(K4757))))</f>
        <v>0</v>
      </c>
    </row>
    <row r="4759" customFormat="false" ht="15" hidden="false" customHeight="false" outlineLevel="0" collapsed="false">
      <c r="K4759" s="24" t="n">
        <f aca="false">IF(Search!$B$3="",0,IF($A4759="",N(K4758),IF(ISNUMBER(SEARCH(Search!$B$3,$A4759&amp;"")),N(K4758)+1,N(K4758))))</f>
        <v>0</v>
      </c>
    </row>
    <row r="4760" customFormat="false" ht="15" hidden="false" customHeight="false" outlineLevel="0" collapsed="false">
      <c r="K4760" s="24" t="n">
        <f aca="false">IF(Search!$B$3="",0,IF($A4760="",N(K4759),IF(ISNUMBER(SEARCH(Search!$B$3,$A4760&amp;"")),N(K4759)+1,N(K4759))))</f>
        <v>0</v>
      </c>
    </row>
    <row r="4761" customFormat="false" ht="15" hidden="false" customHeight="false" outlineLevel="0" collapsed="false">
      <c r="K4761" s="24" t="n">
        <f aca="false">IF(Search!$B$3="",0,IF($A4761="",N(K4760),IF(ISNUMBER(SEARCH(Search!$B$3,$A4761&amp;"")),N(K4760)+1,N(K4760))))</f>
        <v>0</v>
      </c>
    </row>
    <row r="4762" customFormat="false" ht="15" hidden="false" customHeight="false" outlineLevel="0" collapsed="false">
      <c r="K4762" s="24" t="n">
        <f aca="false">IF(Search!$B$3="",0,IF($A4762="",N(K4761),IF(ISNUMBER(SEARCH(Search!$B$3,$A4762&amp;"")),N(K4761)+1,N(K4761))))</f>
        <v>0</v>
      </c>
    </row>
    <row r="4763" customFormat="false" ht="15" hidden="false" customHeight="false" outlineLevel="0" collapsed="false">
      <c r="K4763" s="24" t="n">
        <f aca="false">IF(Search!$B$3="",0,IF($A4763="",N(K4762),IF(ISNUMBER(SEARCH(Search!$B$3,$A4763&amp;"")),N(K4762)+1,N(K4762))))</f>
        <v>0</v>
      </c>
    </row>
    <row r="4764" customFormat="false" ht="15" hidden="false" customHeight="false" outlineLevel="0" collapsed="false">
      <c r="K4764" s="24" t="n">
        <f aca="false">IF(Search!$B$3="",0,IF($A4764="",N(K4763),IF(ISNUMBER(SEARCH(Search!$B$3,$A4764&amp;"")),N(K4763)+1,N(K4763))))</f>
        <v>0</v>
      </c>
    </row>
    <row r="4765" customFormat="false" ht="15" hidden="false" customHeight="false" outlineLevel="0" collapsed="false">
      <c r="K4765" s="24" t="n">
        <f aca="false">IF(Search!$B$3="",0,IF($A4765="",N(K4764),IF(ISNUMBER(SEARCH(Search!$B$3,$A4765&amp;"")),N(K4764)+1,N(K4764))))</f>
        <v>0</v>
      </c>
    </row>
    <row r="4766" customFormat="false" ht="15" hidden="false" customHeight="false" outlineLevel="0" collapsed="false">
      <c r="K4766" s="24" t="n">
        <f aca="false">IF(Search!$B$3="",0,IF($A4766="",N(K4765),IF(ISNUMBER(SEARCH(Search!$B$3,$A4766&amp;"")),N(K4765)+1,N(K4765))))</f>
        <v>0</v>
      </c>
    </row>
    <row r="4767" customFormat="false" ht="15" hidden="false" customHeight="false" outlineLevel="0" collapsed="false">
      <c r="K4767" s="24" t="n">
        <f aca="false">IF(Search!$B$3="",0,IF($A4767="",N(K4766),IF(ISNUMBER(SEARCH(Search!$B$3,$A4767&amp;"")),N(K4766)+1,N(K4766))))</f>
        <v>0</v>
      </c>
    </row>
    <row r="4768" customFormat="false" ht="15" hidden="false" customHeight="false" outlineLevel="0" collapsed="false">
      <c r="K4768" s="24" t="n">
        <f aca="false">IF(Search!$B$3="",0,IF($A4768="",N(K4767),IF(ISNUMBER(SEARCH(Search!$B$3,$A4768&amp;"")),N(K4767)+1,N(K4767))))</f>
        <v>0</v>
      </c>
    </row>
    <row r="4769" customFormat="false" ht="15" hidden="false" customHeight="false" outlineLevel="0" collapsed="false">
      <c r="K4769" s="24" t="n">
        <f aca="false">IF(Search!$B$3="",0,IF($A4769="",N(K4768),IF(ISNUMBER(SEARCH(Search!$B$3,$A4769&amp;"")),N(K4768)+1,N(K4768))))</f>
        <v>0</v>
      </c>
    </row>
    <row r="4770" customFormat="false" ht="15" hidden="false" customHeight="false" outlineLevel="0" collapsed="false">
      <c r="K4770" s="24" t="n">
        <f aca="false">IF(Search!$B$3="",0,IF($A4770="",N(K4769),IF(ISNUMBER(SEARCH(Search!$B$3,$A4770&amp;"")),N(K4769)+1,N(K4769))))</f>
        <v>0</v>
      </c>
    </row>
    <row r="4771" customFormat="false" ht="15" hidden="false" customHeight="false" outlineLevel="0" collapsed="false">
      <c r="K4771" s="24" t="n">
        <f aca="false">IF(Search!$B$3="",0,IF($A4771="",N(K4770),IF(ISNUMBER(SEARCH(Search!$B$3,$A4771&amp;"")),N(K4770)+1,N(K4770))))</f>
        <v>0</v>
      </c>
    </row>
    <row r="4772" customFormat="false" ht="15" hidden="false" customHeight="false" outlineLevel="0" collapsed="false">
      <c r="K4772" s="24" t="n">
        <f aca="false">IF(Search!$B$3="",0,IF($A4772="",N(K4771),IF(ISNUMBER(SEARCH(Search!$B$3,$A4772&amp;"")),N(K4771)+1,N(K4771))))</f>
        <v>0</v>
      </c>
    </row>
    <row r="4773" customFormat="false" ht="15" hidden="false" customHeight="false" outlineLevel="0" collapsed="false">
      <c r="K4773" s="24" t="n">
        <f aca="false">IF(Search!$B$3="",0,IF($A4773="",N(K4772),IF(ISNUMBER(SEARCH(Search!$B$3,$A4773&amp;"")),N(K4772)+1,N(K4772))))</f>
        <v>0</v>
      </c>
    </row>
    <row r="4774" customFormat="false" ht="15" hidden="false" customHeight="false" outlineLevel="0" collapsed="false">
      <c r="K4774" s="24" t="n">
        <f aca="false">IF(Search!$B$3="",0,IF($A4774="",N(K4773),IF(ISNUMBER(SEARCH(Search!$B$3,$A4774&amp;"")),N(K4773)+1,N(K4773))))</f>
        <v>0</v>
      </c>
    </row>
    <row r="4775" customFormat="false" ht="15" hidden="false" customHeight="false" outlineLevel="0" collapsed="false">
      <c r="K4775" s="24" t="n">
        <f aca="false">IF(Search!$B$3="",0,IF($A4775="",N(K4774),IF(ISNUMBER(SEARCH(Search!$B$3,$A4775&amp;"")),N(K4774)+1,N(K4774))))</f>
        <v>0</v>
      </c>
    </row>
    <row r="4776" customFormat="false" ht="15" hidden="false" customHeight="false" outlineLevel="0" collapsed="false">
      <c r="K4776" s="24" t="n">
        <f aca="false">IF(Search!$B$3="",0,IF($A4776="",N(K4775),IF(ISNUMBER(SEARCH(Search!$B$3,$A4776&amp;"")),N(K4775)+1,N(K4775))))</f>
        <v>0</v>
      </c>
    </row>
    <row r="4777" customFormat="false" ht="15" hidden="false" customHeight="false" outlineLevel="0" collapsed="false">
      <c r="K4777" s="24" t="n">
        <f aca="false">IF(Search!$B$3="",0,IF($A4777="",N(K4776),IF(ISNUMBER(SEARCH(Search!$B$3,$A4777&amp;"")),N(K4776)+1,N(K4776))))</f>
        <v>0</v>
      </c>
    </row>
    <row r="4778" customFormat="false" ht="15" hidden="false" customHeight="false" outlineLevel="0" collapsed="false">
      <c r="K4778" s="24" t="n">
        <f aca="false">IF(Search!$B$3="",0,IF($A4778="",N(K4777),IF(ISNUMBER(SEARCH(Search!$B$3,$A4778&amp;"")),N(K4777)+1,N(K4777))))</f>
        <v>0</v>
      </c>
    </row>
    <row r="4779" customFormat="false" ht="15" hidden="false" customHeight="false" outlineLevel="0" collapsed="false">
      <c r="K4779" s="24" t="n">
        <f aca="false">IF(Search!$B$3="",0,IF($A4779="",N(K4778),IF(ISNUMBER(SEARCH(Search!$B$3,$A4779&amp;"")),N(K4778)+1,N(K4778))))</f>
        <v>0</v>
      </c>
    </row>
    <row r="4780" customFormat="false" ht="15" hidden="false" customHeight="false" outlineLevel="0" collapsed="false">
      <c r="K4780" s="24" t="n">
        <f aca="false">IF(Search!$B$3="",0,IF($A4780="",N(K4779),IF(ISNUMBER(SEARCH(Search!$B$3,$A4780&amp;"")),N(K4779)+1,N(K4779))))</f>
        <v>0</v>
      </c>
    </row>
    <row r="4781" customFormat="false" ht="15" hidden="false" customHeight="false" outlineLevel="0" collapsed="false">
      <c r="K4781" s="24" t="n">
        <f aca="false">IF(Search!$B$3="",0,IF($A4781="",N(K4780),IF(ISNUMBER(SEARCH(Search!$B$3,$A4781&amp;"")),N(K4780)+1,N(K4780))))</f>
        <v>0</v>
      </c>
    </row>
    <row r="4782" customFormat="false" ht="15" hidden="false" customHeight="false" outlineLevel="0" collapsed="false">
      <c r="K4782" s="24" t="n">
        <f aca="false">IF(Search!$B$3="",0,IF($A4782="",N(K4781),IF(ISNUMBER(SEARCH(Search!$B$3,$A4782&amp;"")),N(K4781)+1,N(K4781))))</f>
        <v>0</v>
      </c>
    </row>
    <row r="4783" customFormat="false" ht="15" hidden="false" customHeight="false" outlineLevel="0" collapsed="false">
      <c r="K4783" s="24" t="n">
        <f aca="false">IF(Search!$B$3="",0,IF($A4783="",N(K4782),IF(ISNUMBER(SEARCH(Search!$B$3,$A4783&amp;"")),N(K4782)+1,N(K4782))))</f>
        <v>0</v>
      </c>
    </row>
    <row r="4784" customFormat="false" ht="15" hidden="false" customHeight="false" outlineLevel="0" collapsed="false">
      <c r="K4784" s="24" t="n">
        <f aca="false">IF(Search!$B$3="",0,IF($A4784="",N(K4783),IF(ISNUMBER(SEARCH(Search!$B$3,$A4784&amp;"")),N(K4783)+1,N(K4783))))</f>
        <v>0</v>
      </c>
    </row>
    <row r="4785" customFormat="false" ht="15" hidden="false" customHeight="false" outlineLevel="0" collapsed="false">
      <c r="K4785" s="24" t="n">
        <f aca="false">IF(Search!$B$3="",0,IF($A4785="",N(K4784),IF(ISNUMBER(SEARCH(Search!$B$3,$A4785&amp;"")),N(K4784)+1,N(K4784))))</f>
        <v>0</v>
      </c>
    </row>
    <row r="4786" customFormat="false" ht="15" hidden="false" customHeight="false" outlineLevel="0" collapsed="false">
      <c r="K4786" s="24" t="n">
        <f aca="false">IF(Search!$B$3="",0,IF($A4786="",N(K4785),IF(ISNUMBER(SEARCH(Search!$B$3,$A4786&amp;"")),N(K4785)+1,N(K4785))))</f>
        <v>0</v>
      </c>
    </row>
    <row r="4787" customFormat="false" ht="15" hidden="false" customHeight="false" outlineLevel="0" collapsed="false">
      <c r="K4787" s="24" t="n">
        <f aca="false">IF(Search!$B$3="",0,IF($A4787="",N(K4786),IF(ISNUMBER(SEARCH(Search!$B$3,$A4787&amp;"")),N(K4786)+1,N(K4786))))</f>
        <v>0</v>
      </c>
    </row>
    <row r="4788" customFormat="false" ht="15" hidden="false" customHeight="false" outlineLevel="0" collapsed="false">
      <c r="K4788" s="24" t="n">
        <f aca="false">IF(Search!$B$3="",0,IF($A4788="",N(K4787),IF(ISNUMBER(SEARCH(Search!$B$3,$A4788&amp;"")),N(K4787)+1,N(K4787))))</f>
        <v>0</v>
      </c>
    </row>
    <row r="4789" customFormat="false" ht="15" hidden="false" customHeight="false" outlineLevel="0" collapsed="false">
      <c r="K4789" s="24" t="n">
        <f aca="false">IF(Search!$B$3="",0,IF($A4789="",N(K4788),IF(ISNUMBER(SEARCH(Search!$B$3,$A4789&amp;"")),N(K4788)+1,N(K4788))))</f>
        <v>0</v>
      </c>
    </row>
    <row r="4790" customFormat="false" ht="15" hidden="false" customHeight="false" outlineLevel="0" collapsed="false">
      <c r="K4790" s="24" t="n">
        <f aca="false">IF(Search!$B$3="",0,IF($A4790="",N(K4789),IF(ISNUMBER(SEARCH(Search!$B$3,$A4790&amp;"")),N(K4789)+1,N(K4789))))</f>
        <v>0</v>
      </c>
    </row>
    <row r="4791" customFormat="false" ht="15" hidden="false" customHeight="false" outlineLevel="0" collapsed="false">
      <c r="K4791" s="24" t="n">
        <f aca="false">IF(Search!$B$3="",0,IF($A4791="",N(K4790),IF(ISNUMBER(SEARCH(Search!$B$3,$A4791&amp;"")),N(K4790)+1,N(K4790))))</f>
        <v>0</v>
      </c>
    </row>
    <row r="4792" customFormat="false" ht="15" hidden="false" customHeight="false" outlineLevel="0" collapsed="false">
      <c r="K4792" s="24" t="n">
        <f aca="false">IF(Search!$B$3="",0,IF($A4792="",N(K4791),IF(ISNUMBER(SEARCH(Search!$B$3,$A4792&amp;"")),N(K4791)+1,N(K4791))))</f>
        <v>0</v>
      </c>
    </row>
    <row r="4793" customFormat="false" ht="15" hidden="false" customHeight="false" outlineLevel="0" collapsed="false">
      <c r="K4793" s="24" t="n">
        <f aca="false">IF(Search!$B$3="",0,IF($A4793="",N(K4792),IF(ISNUMBER(SEARCH(Search!$B$3,$A4793&amp;"")),N(K4792)+1,N(K4792))))</f>
        <v>0</v>
      </c>
    </row>
    <row r="4794" customFormat="false" ht="15" hidden="false" customHeight="false" outlineLevel="0" collapsed="false">
      <c r="K4794" s="24" t="n">
        <f aca="false">IF(Search!$B$3="",0,IF($A4794="",N(K4793),IF(ISNUMBER(SEARCH(Search!$B$3,$A4794&amp;"")),N(K4793)+1,N(K4793))))</f>
        <v>0</v>
      </c>
    </row>
    <row r="4795" customFormat="false" ht="15" hidden="false" customHeight="false" outlineLevel="0" collapsed="false">
      <c r="K4795" s="24" t="n">
        <f aca="false">IF(Search!$B$3="",0,IF($A4795="",N(K4794),IF(ISNUMBER(SEARCH(Search!$B$3,$A4795&amp;"")),N(K4794)+1,N(K4794))))</f>
        <v>0</v>
      </c>
    </row>
    <row r="4796" customFormat="false" ht="15" hidden="false" customHeight="false" outlineLevel="0" collapsed="false">
      <c r="K4796" s="24" t="n">
        <f aca="false">IF(Search!$B$3="",0,IF($A4796="",N(K4795),IF(ISNUMBER(SEARCH(Search!$B$3,$A4796&amp;"")),N(K4795)+1,N(K4795))))</f>
        <v>0</v>
      </c>
    </row>
    <row r="4797" customFormat="false" ht="15" hidden="false" customHeight="false" outlineLevel="0" collapsed="false">
      <c r="K4797" s="24" t="n">
        <f aca="false">IF(Search!$B$3="",0,IF($A4797="",N(K4796),IF(ISNUMBER(SEARCH(Search!$B$3,$A4797&amp;"")),N(K4796)+1,N(K4796))))</f>
        <v>0</v>
      </c>
    </row>
    <row r="4798" customFormat="false" ht="15" hidden="false" customHeight="false" outlineLevel="0" collapsed="false">
      <c r="K4798" s="24" t="n">
        <f aca="false">IF(Search!$B$3="",0,IF($A4798="",N(K4797),IF(ISNUMBER(SEARCH(Search!$B$3,$A4798&amp;"")),N(K4797)+1,N(K4797))))</f>
        <v>0</v>
      </c>
    </row>
    <row r="4799" customFormat="false" ht="15" hidden="false" customHeight="false" outlineLevel="0" collapsed="false">
      <c r="K4799" s="24" t="n">
        <f aca="false">IF(Search!$B$3="",0,IF($A4799="",N(K4798),IF(ISNUMBER(SEARCH(Search!$B$3,$A4799&amp;"")),N(K4798)+1,N(K4798))))</f>
        <v>0</v>
      </c>
    </row>
    <row r="4800" customFormat="false" ht="15" hidden="false" customHeight="false" outlineLevel="0" collapsed="false">
      <c r="K4800" s="24" t="n">
        <f aca="false">IF(Search!$B$3="",0,IF($A4800="",N(K4799),IF(ISNUMBER(SEARCH(Search!$B$3,$A4800&amp;"")),N(K4799)+1,N(K4799))))</f>
        <v>0</v>
      </c>
    </row>
    <row r="4801" customFormat="false" ht="15" hidden="false" customHeight="false" outlineLevel="0" collapsed="false">
      <c r="K4801" s="24" t="n">
        <f aca="false">IF(Search!$B$3="",0,IF($A4801="",N(K4800),IF(ISNUMBER(SEARCH(Search!$B$3,$A4801&amp;"")),N(K4800)+1,N(K4800))))</f>
        <v>0</v>
      </c>
    </row>
    <row r="4802" customFormat="false" ht="15" hidden="false" customHeight="false" outlineLevel="0" collapsed="false">
      <c r="K4802" s="24" t="n">
        <f aca="false">IF(Search!$B$3="",0,IF($A4802="",N(K4801),IF(ISNUMBER(SEARCH(Search!$B$3,$A4802&amp;"")),N(K4801)+1,N(K4801))))</f>
        <v>0</v>
      </c>
    </row>
    <row r="4803" customFormat="false" ht="15" hidden="false" customHeight="false" outlineLevel="0" collapsed="false">
      <c r="K4803" s="24" t="n">
        <f aca="false">IF(Search!$B$3="",0,IF($A4803="",N(K4802),IF(ISNUMBER(SEARCH(Search!$B$3,$A4803&amp;"")),N(K4802)+1,N(K4802))))</f>
        <v>0</v>
      </c>
    </row>
    <row r="4804" customFormat="false" ht="15" hidden="false" customHeight="false" outlineLevel="0" collapsed="false">
      <c r="K4804" s="24" t="n">
        <f aca="false">IF(Search!$B$3="",0,IF($A4804="",N(K4803),IF(ISNUMBER(SEARCH(Search!$B$3,$A4804&amp;"")),N(K4803)+1,N(K4803))))</f>
        <v>0</v>
      </c>
    </row>
    <row r="4805" customFormat="false" ht="15" hidden="false" customHeight="false" outlineLevel="0" collapsed="false">
      <c r="K4805" s="24" t="n">
        <f aca="false">IF(Search!$B$3="",0,IF($A4805="",N(K4804),IF(ISNUMBER(SEARCH(Search!$B$3,$A4805&amp;"")),N(K4804)+1,N(K4804))))</f>
        <v>0</v>
      </c>
    </row>
    <row r="4806" customFormat="false" ht="15" hidden="false" customHeight="false" outlineLevel="0" collapsed="false">
      <c r="K4806" s="24" t="n">
        <f aca="false">IF(Search!$B$3="",0,IF($A4806="",N(K4805),IF(ISNUMBER(SEARCH(Search!$B$3,$A4806&amp;"")),N(K4805)+1,N(K4805))))</f>
        <v>0</v>
      </c>
    </row>
    <row r="4807" customFormat="false" ht="15" hidden="false" customHeight="false" outlineLevel="0" collapsed="false">
      <c r="K4807" s="24" t="n">
        <f aca="false">IF(Search!$B$3="",0,IF($A4807="",N(K4806),IF(ISNUMBER(SEARCH(Search!$B$3,$A4807&amp;"")),N(K4806)+1,N(K4806))))</f>
        <v>0</v>
      </c>
    </row>
    <row r="4808" customFormat="false" ht="15" hidden="false" customHeight="false" outlineLevel="0" collapsed="false">
      <c r="K4808" s="24" t="n">
        <f aca="false">IF(Search!$B$3="",0,IF($A4808="",N(K4807),IF(ISNUMBER(SEARCH(Search!$B$3,$A4808&amp;"")),N(K4807)+1,N(K4807))))</f>
        <v>0</v>
      </c>
    </row>
    <row r="4809" customFormat="false" ht="15" hidden="false" customHeight="false" outlineLevel="0" collapsed="false">
      <c r="K4809" s="24" t="n">
        <f aca="false">IF(Search!$B$3="",0,IF($A4809="",N(K4808),IF(ISNUMBER(SEARCH(Search!$B$3,$A4809&amp;"")),N(K4808)+1,N(K4808))))</f>
        <v>0</v>
      </c>
    </row>
    <row r="4810" customFormat="false" ht="15" hidden="false" customHeight="false" outlineLevel="0" collapsed="false">
      <c r="K4810" s="24" t="n">
        <f aca="false">IF(Search!$B$3="",0,IF($A4810="",N(K4809),IF(ISNUMBER(SEARCH(Search!$B$3,$A4810&amp;"")),N(K4809)+1,N(K4809))))</f>
        <v>0</v>
      </c>
    </row>
    <row r="4811" customFormat="false" ht="15" hidden="false" customHeight="false" outlineLevel="0" collapsed="false">
      <c r="K4811" s="24" t="n">
        <f aca="false">IF(Search!$B$3="",0,IF($A4811="",N(K4810),IF(ISNUMBER(SEARCH(Search!$B$3,$A4811&amp;"")),N(K4810)+1,N(K4810))))</f>
        <v>0</v>
      </c>
    </row>
    <row r="4812" customFormat="false" ht="15" hidden="false" customHeight="false" outlineLevel="0" collapsed="false">
      <c r="K4812" s="24" t="n">
        <f aca="false">IF(Search!$B$3="",0,IF($A4812="",N(K4811),IF(ISNUMBER(SEARCH(Search!$B$3,$A4812&amp;"")),N(K4811)+1,N(K4811))))</f>
        <v>0</v>
      </c>
    </row>
    <row r="4813" customFormat="false" ht="15" hidden="false" customHeight="false" outlineLevel="0" collapsed="false">
      <c r="K4813" s="24" t="n">
        <f aca="false">IF(Search!$B$3="",0,IF($A4813="",N(K4812),IF(ISNUMBER(SEARCH(Search!$B$3,$A4813&amp;"")),N(K4812)+1,N(K4812))))</f>
        <v>0</v>
      </c>
    </row>
    <row r="4814" customFormat="false" ht="15" hidden="false" customHeight="false" outlineLevel="0" collapsed="false">
      <c r="K4814" s="24" t="n">
        <f aca="false">IF(Search!$B$3="",0,IF($A4814="",N(K4813),IF(ISNUMBER(SEARCH(Search!$B$3,$A4814&amp;"")),N(K4813)+1,N(K4813))))</f>
        <v>0</v>
      </c>
    </row>
    <row r="4815" customFormat="false" ht="15" hidden="false" customHeight="false" outlineLevel="0" collapsed="false">
      <c r="K4815" s="24" t="n">
        <f aca="false">IF(Search!$B$3="",0,IF($A4815="",N(K4814),IF(ISNUMBER(SEARCH(Search!$B$3,$A4815&amp;"")),N(K4814)+1,N(K4814))))</f>
        <v>0</v>
      </c>
    </row>
    <row r="4816" customFormat="false" ht="15" hidden="false" customHeight="false" outlineLevel="0" collapsed="false">
      <c r="K4816" s="24" t="n">
        <f aca="false">IF(Search!$B$3="",0,IF($A4816="",N(K4815),IF(ISNUMBER(SEARCH(Search!$B$3,$A4816&amp;"")),N(K4815)+1,N(K4815))))</f>
        <v>0</v>
      </c>
    </row>
    <row r="4817" customFormat="false" ht="15" hidden="false" customHeight="false" outlineLevel="0" collapsed="false">
      <c r="K4817" s="24" t="n">
        <f aca="false">IF(Search!$B$3="",0,IF($A4817="",N(K4816),IF(ISNUMBER(SEARCH(Search!$B$3,$A4817&amp;"")),N(K4816)+1,N(K4816))))</f>
        <v>0</v>
      </c>
    </row>
    <row r="4818" customFormat="false" ht="15" hidden="false" customHeight="false" outlineLevel="0" collapsed="false">
      <c r="K4818" s="24" t="n">
        <f aca="false">IF(Search!$B$3="",0,IF($A4818="",N(K4817),IF(ISNUMBER(SEARCH(Search!$B$3,$A4818&amp;"")),N(K4817)+1,N(K4817))))</f>
        <v>0</v>
      </c>
    </row>
    <row r="4819" customFormat="false" ht="15" hidden="false" customHeight="false" outlineLevel="0" collapsed="false">
      <c r="K4819" s="24" t="n">
        <f aca="false">IF(Search!$B$3="",0,IF($A4819="",N(K4818),IF(ISNUMBER(SEARCH(Search!$B$3,$A4819&amp;"")),N(K4818)+1,N(K4818))))</f>
        <v>0</v>
      </c>
    </row>
    <row r="4820" customFormat="false" ht="15" hidden="false" customHeight="false" outlineLevel="0" collapsed="false">
      <c r="K4820" s="24" t="n">
        <f aca="false">IF(Search!$B$3="",0,IF($A4820="",N(K4819),IF(ISNUMBER(SEARCH(Search!$B$3,$A4820&amp;"")),N(K4819)+1,N(K4819))))</f>
        <v>0</v>
      </c>
    </row>
    <row r="4821" customFormat="false" ht="15" hidden="false" customHeight="false" outlineLevel="0" collapsed="false">
      <c r="K4821" s="24" t="n">
        <f aca="false">IF(Search!$B$3="",0,IF($A4821="",N(K4820),IF(ISNUMBER(SEARCH(Search!$B$3,$A4821&amp;"")),N(K4820)+1,N(K4820))))</f>
        <v>0</v>
      </c>
    </row>
    <row r="4822" customFormat="false" ht="15" hidden="false" customHeight="false" outlineLevel="0" collapsed="false">
      <c r="K4822" s="24" t="n">
        <f aca="false">IF(Search!$B$3="",0,IF($A4822="",N(K4821),IF(ISNUMBER(SEARCH(Search!$B$3,$A4822&amp;"")),N(K4821)+1,N(K4821))))</f>
        <v>0</v>
      </c>
    </row>
    <row r="4823" customFormat="false" ht="15" hidden="false" customHeight="false" outlineLevel="0" collapsed="false">
      <c r="K4823" s="24" t="n">
        <f aca="false">IF(Search!$B$3="",0,IF($A4823="",N(K4822),IF(ISNUMBER(SEARCH(Search!$B$3,$A4823&amp;"")),N(K4822)+1,N(K4822))))</f>
        <v>0</v>
      </c>
    </row>
    <row r="4824" customFormat="false" ht="15" hidden="false" customHeight="false" outlineLevel="0" collapsed="false">
      <c r="K4824" s="24" t="n">
        <f aca="false">IF(Search!$B$3="",0,IF($A4824="",N(K4823),IF(ISNUMBER(SEARCH(Search!$B$3,$A4824&amp;"")),N(K4823)+1,N(K4823))))</f>
        <v>0</v>
      </c>
    </row>
    <row r="4825" customFormat="false" ht="15" hidden="false" customHeight="false" outlineLevel="0" collapsed="false">
      <c r="K4825" s="24" t="n">
        <f aca="false">IF(Search!$B$3="",0,IF($A4825="",N(K4824),IF(ISNUMBER(SEARCH(Search!$B$3,$A4825&amp;"")),N(K4824)+1,N(K4824))))</f>
        <v>0</v>
      </c>
    </row>
    <row r="4826" customFormat="false" ht="15" hidden="false" customHeight="false" outlineLevel="0" collapsed="false">
      <c r="K4826" s="24" t="n">
        <f aca="false">IF(Search!$B$3="",0,IF($A4826="",N(K4825),IF(ISNUMBER(SEARCH(Search!$B$3,$A4826&amp;"")),N(K4825)+1,N(K4825))))</f>
        <v>0</v>
      </c>
    </row>
    <row r="4827" customFormat="false" ht="15" hidden="false" customHeight="false" outlineLevel="0" collapsed="false">
      <c r="K4827" s="24" t="n">
        <f aca="false">IF(Search!$B$3="",0,IF($A4827="",N(K4826),IF(ISNUMBER(SEARCH(Search!$B$3,$A4827&amp;"")),N(K4826)+1,N(K4826))))</f>
        <v>0</v>
      </c>
    </row>
    <row r="4828" customFormat="false" ht="15" hidden="false" customHeight="false" outlineLevel="0" collapsed="false">
      <c r="K4828" s="24" t="n">
        <f aca="false">IF(Search!$B$3="",0,IF($A4828="",N(K4827),IF(ISNUMBER(SEARCH(Search!$B$3,$A4828&amp;"")),N(K4827)+1,N(K4827))))</f>
        <v>0</v>
      </c>
    </row>
    <row r="4829" customFormat="false" ht="15" hidden="false" customHeight="false" outlineLevel="0" collapsed="false">
      <c r="K4829" s="24" t="n">
        <f aca="false">IF(Search!$B$3="",0,IF($A4829="",N(K4828),IF(ISNUMBER(SEARCH(Search!$B$3,$A4829&amp;"")),N(K4828)+1,N(K4828))))</f>
        <v>0</v>
      </c>
    </row>
    <row r="4830" customFormat="false" ht="15" hidden="false" customHeight="false" outlineLevel="0" collapsed="false">
      <c r="K4830" s="24" t="n">
        <f aca="false">IF(Search!$B$3="",0,IF($A4830="",N(K4829),IF(ISNUMBER(SEARCH(Search!$B$3,$A4830&amp;"")),N(K4829)+1,N(K4829))))</f>
        <v>0</v>
      </c>
    </row>
    <row r="4831" customFormat="false" ht="15" hidden="false" customHeight="false" outlineLevel="0" collapsed="false">
      <c r="K4831" s="24" t="n">
        <f aca="false">IF(Search!$B$3="",0,IF($A4831="",N(K4830),IF(ISNUMBER(SEARCH(Search!$B$3,$A4831&amp;"")),N(K4830)+1,N(K4830))))</f>
        <v>0</v>
      </c>
    </row>
    <row r="4832" customFormat="false" ht="15" hidden="false" customHeight="false" outlineLevel="0" collapsed="false">
      <c r="K4832" s="24" t="n">
        <f aca="false">IF(Search!$B$3="",0,IF($A4832="",N(K4831),IF(ISNUMBER(SEARCH(Search!$B$3,$A4832&amp;"")),N(K4831)+1,N(K4831))))</f>
        <v>0</v>
      </c>
    </row>
    <row r="4833" customFormat="false" ht="15" hidden="false" customHeight="false" outlineLevel="0" collapsed="false">
      <c r="K4833" s="24" t="n">
        <f aca="false">IF(Search!$B$3="",0,IF($A4833="",N(K4832),IF(ISNUMBER(SEARCH(Search!$B$3,$A4833&amp;"")),N(K4832)+1,N(K4832))))</f>
        <v>0</v>
      </c>
    </row>
    <row r="4834" customFormat="false" ht="15" hidden="false" customHeight="false" outlineLevel="0" collapsed="false">
      <c r="K4834" s="24" t="n">
        <f aca="false">IF(Search!$B$3="",0,IF($A4834="",N(K4833),IF(ISNUMBER(SEARCH(Search!$B$3,$A4834&amp;"")),N(K4833)+1,N(K4833))))</f>
        <v>0</v>
      </c>
    </row>
    <row r="4835" customFormat="false" ht="15" hidden="false" customHeight="false" outlineLevel="0" collapsed="false">
      <c r="K4835" s="24" t="n">
        <f aca="false">IF(Search!$B$3="",0,IF($A4835="",N(K4834),IF(ISNUMBER(SEARCH(Search!$B$3,$A4835&amp;"")),N(K4834)+1,N(K4834))))</f>
        <v>0</v>
      </c>
    </row>
    <row r="4836" customFormat="false" ht="15" hidden="false" customHeight="false" outlineLevel="0" collapsed="false">
      <c r="K4836" s="24" t="n">
        <f aca="false">IF(Search!$B$3="",0,IF($A4836="",N(K4835),IF(ISNUMBER(SEARCH(Search!$B$3,$A4836&amp;"")),N(K4835)+1,N(K4835))))</f>
        <v>0</v>
      </c>
    </row>
    <row r="4837" customFormat="false" ht="15" hidden="false" customHeight="false" outlineLevel="0" collapsed="false">
      <c r="K4837" s="24" t="n">
        <f aca="false">IF(Search!$B$3="",0,IF($A4837="",N(K4836),IF(ISNUMBER(SEARCH(Search!$B$3,$A4837&amp;"")),N(K4836)+1,N(K4836))))</f>
        <v>0</v>
      </c>
    </row>
    <row r="4838" customFormat="false" ht="15" hidden="false" customHeight="false" outlineLevel="0" collapsed="false">
      <c r="K4838" s="24" t="n">
        <f aca="false">IF(Search!$B$3="",0,IF($A4838="",N(K4837),IF(ISNUMBER(SEARCH(Search!$B$3,$A4838&amp;"")),N(K4837)+1,N(K4837))))</f>
        <v>0</v>
      </c>
    </row>
    <row r="4839" customFormat="false" ht="15" hidden="false" customHeight="false" outlineLevel="0" collapsed="false">
      <c r="K4839" s="24" t="n">
        <f aca="false">IF(Search!$B$3="",0,IF($A4839="",N(K4838),IF(ISNUMBER(SEARCH(Search!$B$3,$A4839&amp;"")),N(K4838)+1,N(K4838))))</f>
        <v>0</v>
      </c>
    </row>
    <row r="4840" customFormat="false" ht="15" hidden="false" customHeight="false" outlineLevel="0" collapsed="false">
      <c r="K4840" s="24" t="n">
        <f aca="false">IF(Search!$B$3="",0,IF($A4840="",N(K4839),IF(ISNUMBER(SEARCH(Search!$B$3,$A4840&amp;"")),N(K4839)+1,N(K4839))))</f>
        <v>0</v>
      </c>
    </row>
    <row r="4841" customFormat="false" ht="15" hidden="false" customHeight="false" outlineLevel="0" collapsed="false">
      <c r="K4841" s="24" t="n">
        <f aca="false">IF(Search!$B$3="",0,IF($A4841="",N(K4840),IF(ISNUMBER(SEARCH(Search!$B$3,$A4841&amp;"")),N(K4840)+1,N(K4840))))</f>
        <v>0</v>
      </c>
    </row>
    <row r="4842" customFormat="false" ht="15" hidden="false" customHeight="false" outlineLevel="0" collapsed="false">
      <c r="K4842" s="24" t="n">
        <f aca="false">IF(Search!$B$3="",0,IF($A4842="",N(K4841),IF(ISNUMBER(SEARCH(Search!$B$3,$A4842&amp;"")),N(K4841)+1,N(K4841))))</f>
        <v>0</v>
      </c>
    </row>
    <row r="4843" customFormat="false" ht="15" hidden="false" customHeight="false" outlineLevel="0" collapsed="false">
      <c r="K4843" s="24" t="n">
        <f aca="false">IF(Search!$B$3="",0,IF($A4843="",N(K4842),IF(ISNUMBER(SEARCH(Search!$B$3,$A4843&amp;"")),N(K4842)+1,N(K4842))))</f>
        <v>0</v>
      </c>
    </row>
    <row r="4844" customFormat="false" ht="15" hidden="false" customHeight="false" outlineLevel="0" collapsed="false">
      <c r="K4844" s="24" t="n">
        <f aca="false">IF(Search!$B$3="",0,IF($A4844="",N(K4843),IF(ISNUMBER(SEARCH(Search!$B$3,$A4844&amp;"")),N(K4843)+1,N(K4843))))</f>
        <v>0</v>
      </c>
    </row>
    <row r="4845" customFormat="false" ht="15" hidden="false" customHeight="false" outlineLevel="0" collapsed="false">
      <c r="K4845" s="24" t="n">
        <f aca="false">IF(Search!$B$3="",0,IF($A4845="",N(K4844),IF(ISNUMBER(SEARCH(Search!$B$3,$A4845&amp;"")),N(K4844)+1,N(K4844))))</f>
        <v>0</v>
      </c>
    </row>
    <row r="4846" customFormat="false" ht="15" hidden="false" customHeight="false" outlineLevel="0" collapsed="false">
      <c r="K4846" s="24" t="n">
        <f aca="false">IF(Search!$B$3="",0,IF($A4846="",N(K4845),IF(ISNUMBER(SEARCH(Search!$B$3,$A4846&amp;"")),N(K4845)+1,N(K4845))))</f>
        <v>0</v>
      </c>
    </row>
    <row r="4847" customFormat="false" ht="15" hidden="false" customHeight="false" outlineLevel="0" collapsed="false">
      <c r="K4847" s="24" t="n">
        <f aca="false">IF(Search!$B$3="",0,IF($A4847="",N(K4846),IF(ISNUMBER(SEARCH(Search!$B$3,$A4847&amp;"")),N(K4846)+1,N(K4846))))</f>
        <v>0</v>
      </c>
    </row>
    <row r="4848" customFormat="false" ht="15" hidden="false" customHeight="false" outlineLevel="0" collapsed="false">
      <c r="K4848" s="24" t="n">
        <f aca="false">IF(Search!$B$3="",0,IF($A4848="",N(K4847),IF(ISNUMBER(SEARCH(Search!$B$3,$A4848&amp;"")),N(K4847)+1,N(K4847))))</f>
        <v>0</v>
      </c>
    </row>
    <row r="4849" customFormat="false" ht="15" hidden="false" customHeight="false" outlineLevel="0" collapsed="false">
      <c r="K4849" s="24" t="n">
        <f aca="false">IF(Search!$B$3="",0,IF($A4849="",N(K4848),IF(ISNUMBER(SEARCH(Search!$B$3,$A4849&amp;"")),N(K4848)+1,N(K4848))))</f>
        <v>0</v>
      </c>
    </row>
    <row r="4850" customFormat="false" ht="15" hidden="false" customHeight="false" outlineLevel="0" collapsed="false">
      <c r="K4850" s="24" t="n">
        <f aca="false">IF(Search!$B$3="",0,IF($A4850="",N(K4849),IF(ISNUMBER(SEARCH(Search!$B$3,$A4850&amp;"")),N(K4849)+1,N(K4849))))</f>
        <v>0</v>
      </c>
    </row>
    <row r="4851" customFormat="false" ht="15" hidden="false" customHeight="false" outlineLevel="0" collapsed="false">
      <c r="K4851" s="24" t="n">
        <f aca="false">IF(Search!$B$3="",0,IF($A4851="",N(K4850),IF(ISNUMBER(SEARCH(Search!$B$3,$A4851&amp;"")),N(K4850)+1,N(K4850))))</f>
        <v>0</v>
      </c>
    </row>
    <row r="4852" customFormat="false" ht="15" hidden="false" customHeight="false" outlineLevel="0" collapsed="false">
      <c r="K4852" s="24" t="n">
        <f aca="false">IF(Search!$B$3="",0,IF($A4852="",N(K4851),IF(ISNUMBER(SEARCH(Search!$B$3,$A4852&amp;"")),N(K4851)+1,N(K4851))))</f>
        <v>0</v>
      </c>
    </row>
    <row r="4853" customFormat="false" ht="15" hidden="false" customHeight="false" outlineLevel="0" collapsed="false">
      <c r="K4853" s="24" t="n">
        <f aca="false">IF(Search!$B$3="",0,IF($A4853="",N(K4852),IF(ISNUMBER(SEARCH(Search!$B$3,$A4853&amp;"")),N(K4852)+1,N(K4852))))</f>
        <v>0</v>
      </c>
    </row>
    <row r="4854" customFormat="false" ht="15" hidden="false" customHeight="false" outlineLevel="0" collapsed="false">
      <c r="K4854" s="24" t="n">
        <f aca="false">IF(Search!$B$3="",0,IF($A4854="",N(K4853),IF(ISNUMBER(SEARCH(Search!$B$3,$A4854&amp;"")),N(K4853)+1,N(K4853))))</f>
        <v>0</v>
      </c>
    </row>
    <row r="4855" customFormat="false" ht="15" hidden="false" customHeight="false" outlineLevel="0" collapsed="false">
      <c r="K4855" s="24" t="n">
        <f aca="false">IF(Search!$B$3="",0,IF($A4855="",N(K4854),IF(ISNUMBER(SEARCH(Search!$B$3,$A4855&amp;"")),N(K4854)+1,N(K4854))))</f>
        <v>0</v>
      </c>
    </row>
    <row r="4856" customFormat="false" ht="15" hidden="false" customHeight="false" outlineLevel="0" collapsed="false">
      <c r="K4856" s="24" t="n">
        <f aca="false">IF(Search!$B$3="",0,IF($A4856="",N(K4855),IF(ISNUMBER(SEARCH(Search!$B$3,$A4856&amp;"")),N(K4855)+1,N(K4855))))</f>
        <v>0</v>
      </c>
    </row>
    <row r="4857" customFormat="false" ht="15" hidden="false" customHeight="false" outlineLevel="0" collapsed="false">
      <c r="K4857" s="24" t="n">
        <f aca="false">IF(Search!$B$3="",0,IF($A4857="",N(K4856),IF(ISNUMBER(SEARCH(Search!$B$3,$A4857&amp;"")),N(K4856)+1,N(K4856))))</f>
        <v>0</v>
      </c>
    </row>
    <row r="4858" customFormat="false" ht="15" hidden="false" customHeight="false" outlineLevel="0" collapsed="false">
      <c r="K4858" s="24" t="n">
        <f aca="false">IF(Search!$B$3="",0,IF($A4858="",N(K4857),IF(ISNUMBER(SEARCH(Search!$B$3,$A4858&amp;"")),N(K4857)+1,N(K4857))))</f>
        <v>0</v>
      </c>
    </row>
    <row r="4859" customFormat="false" ht="15" hidden="false" customHeight="false" outlineLevel="0" collapsed="false">
      <c r="K4859" s="24" t="n">
        <f aca="false">IF(Search!$B$3="",0,IF($A4859="",N(K4858),IF(ISNUMBER(SEARCH(Search!$B$3,$A4859&amp;"")),N(K4858)+1,N(K4858))))</f>
        <v>0</v>
      </c>
    </row>
    <row r="4860" customFormat="false" ht="15" hidden="false" customHeight="false" outlineLevel="0" collapsed="false">
      <c r="K4860" s="24" t="n">
        <f aca="false">IF(Search!$B$3="",0,IF($A4860="",N(K4859),IF(ISNUMBER(SEARCH(Search!$B$3,$A4860&amp;"")),N(K4859)+1,N(K4859))))</f>
        <v>0</v>
      </c>
    </row>
    <row r="4861" customFormat="false" ht="15" hidden="false" customHeight="false" outlineLevel="0" collapsed="false">
      <c r="K4861" s="24" t="n">
        <f aca="false">IF(Search!$B$3="",0,IF($A4861="",N(K4860),IF(ISNUMBER(SEARCH(Search!$B$3,$A4861&amp;"")),N(K4860)+1,N(K4860))))</f>
        <v>0</v>
      </c>
    </row>
    <row r="4862" customFormat="false" ht="15" hidden="false" customHeight="false" outlineLevel="0" collapsed="false">
      <c r="K4862" s="24" t="n">
        <f aca="false">IF(Search!$B$3="",0,IF($A4862="",N(K4861),IF(ISNUMBER(SEARCH(Search!$B$3,$A4862&amp;"")),N(K4861)+1,N(K4861))))</f>
        <v>0</v>
      </c>
    </row>
    <row r="4863" customFormat="false" ht="15" hidden="false" customHeight="false" outlineLevel="0" collapsed="false">
      <c r="K4863" s="24" t="n">
        <f aca="false">IF(Search!$B$3="",0,IF($A4863="",N(K4862),IF(ISNUMBER(SEARCH(Search!$B$3,$A4863&amp;"")),N(K4862)+1,N(K4862))))</f>
        <v>0</v>
      </c>
    </row>
    <row r="4864" customFormat="false" ht="15" hidden="false" customHeight="false" outlineLevel="0" collapsed="false">
      <c r="K4864" s="24" t="n">
        <f aca="false">IF(Search!$B$3="",0,IF($A4864="",N(K4863),IF(ISNUMBER(SEARCH(Search!$B$3,$A4864&amp;"")),N(K4863)+1,N(K4863))))</f>
        <v>0</v>
      </c>
    </row>
    <row r="4865" customFormat="false" ht="15" hidden="false" customHeight="false" outlineLevel="0" collapsed="false">
      <c r="K4865" s="24" t="n">
        <f aca="false">IF(Search!$B$3="",0,IF($A4865="",N(K4864),IF(ISNUMBER(SEARCH(Search!$B$3,$A4865&amp;"")),N(K4864)+1,N(K4864))))</f>
        <v>0</v>
      </c>
    </row>
    <row r="4866" customFormat="false" ht="15" hidden="false" customHeight="false" outlineLevel="0" collapsed="false">
      <c r="K4866" s="24" t="n">
        <f aca="false">IF(Search!$B$3="",0,IF($A4866="",N(K4865),IF(ISNUMBER(SEARCH(Search!$B$3,$A4866&amp;"")),N(K4865)+1,N(K4865))))</f>
        <v>0</v>
      </c>
    </row>
    <row r="4867" customFormat="false" ht="15" hidden="false" customHeight="false" outlineLevel="0" collapsed="false">
      <c r="K4867" s="24" t="n">
        <f aca="false">IF(Search!$B$3="",0,IF($A4867="",N(K4866),IF(ISNUMBER(SEARCH(Search!$B$3,$A4867&amp;"")),N(K4866)+1,N(K4866))))</f>
        <v>0</v>
      </c>
    </row>
    <row r="4868" customFormat="false" ht="15" hidden="false" customHeight="false" outlineLevel="0" collapsed="false">
      <c r="K4868" s="24" t="n">
        <f aca="false">IF(Search!$B$3="",0,IF($A4868="",N(K4867),IF(ISNUMBER(SEARCH(Search!$B$3,$A4868&amp;"")),N(K4867)+1,N(K4867))))</f>
        <v>0</v>
      </c>
    </row>
    <row r="4869" customFormat="false" ht="15" hidden="false" customHeight="false" outlineLevel="0" collapsed="false">
      <c r="K4869" s="24" t="n">
        <f aca="false">IF(Search!$B$3="",0,IF($A4869="",N(K4868),IF(ISNUMBER(SEARCH(Search!$B$3,$A4869&amp;"")),N(K4868)+1,N(K4868))))</f>
        <v>0</v>
      </c>
    </row>
    <row r="4870" customFormat="false" ht="15" hidden="false" customHeight="false" outlineLevel="0" collapsed="false">
      <c r="K4870" s="24" t="n">
        <f aca="false">IF(Search!$B$3="",0,IF($A4870="",N(K4869),IF(ISNUMBER(SEARCH(Search!$B$3,$A4870&amp;"")),N(K4869)+1,N(K4869))))</f>
        <v>0</v>
      </c>
    </row>
    <row r="4871" customFormat="false" ht="15" hidden="false" customHeight="false" outlineLevel="0" collapsed="false">
      <c r="K4871" s="24" t="n">
        <f aca="false">IF(Search!$B$3="",0,IF($A4871="",N(K4870),IF(ISNUMBER(SEARCH(Search!$B$3,$A4871&amp;"")),N(K4870)+1,N(K4870))))</f>
        <v>0</v>
      </c>
    </row>
    <row r="4872" customFormat="false" ht="15" hidden="false" customHeight="false" outlineLevel="0" collapsed="false">
      <c r="K4872" s="24" t="n">
        <f aca="false">IF(Search!$B$3="",0,IF($A4872="",N(K4871),IF(ISNUMBER(SEARCH(Search!$B$3,$A4872&amp;"")),N(K4871)+1,N(K4871))))</f>
        <v>0</v>
      </c>
    </row>
    <row r="4873" customFormat="false" ht="15" hidden="false" customHeight="false" outlineLevel="0" collapsed="false">
      <c r="K4873" s="24" t="n">
        <f aca="false">IF(Search!$B$3="",0,IF($A4873="",N(K4872),IF(ISNUMBER(SEARCH(Search!$B$3,$A4873&amp;"")),N(K4872)+1,N(K4872))))</f>
        <v>0</v>
      </c>
    </row>
    <row r="4874" customFormat="false" ht="15" hidden="false" customHeight="false" outlineLevel="0" collapsed="false">
      <c r="K4874" s="24" t="n">
        <f aca="false">IF(Search!$B$3="",0,IF($A4874="",N(K4873),IF(ISNUMBER(SEARCH(Search!$B$3,$A4874&amp;"")),N(K4873)+1,N(K4873))))</f>
        <v>0</v>
      </c>
    </row>
    <row r="4875" customFormat="false" ht="15" hidden="false" customHeight="false" outlineLevel="0" collapsed="false">
      <c r="K4875" s="24" t="n">
        <f aca="false">IF(Search!$B$3="",0,IF($A4875="",N(K4874),IF(ISNUMBER(SEARCH(Search!$B$3,$A4875&amp;"")),N(K4874)+1,N(K4874))))</f>
        <v>0</v>
      </c>
    </row>
    <row r="4876" customFormat="false" ht="15" hidden="false" customHeight="false" outlineLevel="0" collapsed="false">
      <c r="K4876" s="24" t="n">
        <f aca="false">IF(Search!$B$3="",0,IF($A4876="",N(K4875),IF(ISNUMBER(SEARCH(Search!$B$3,$A4876&amp;"")),N(K4875)+1,N(K4875))))</f>
        <v>0</v>
      </c>
    </row>
    <row r="4877" customFormat="false" ht="15" hidden="false" customHeight="false" outlineLevel="0" collapsed="false">
      <c r="K4877" s="24" t="n">
        <f aca="false">IF(Search!$B$3="",0,IF($A4877="",N(K4876),IF(ISNUMBER(SEARCH(Search!$B$3,$A4877&amp;"")),N(K4876)+1,N(K4876))))</f>
        <v>0</v>
      </c>
    </row>
    <row r="4878" customFormat="false" ht="15" hidden="false" customHeight="false" outlineLevel="0" collapsed="false">
      <c r="K4878" s="24" t="n">
        <f aca="false">IF(Search!$B$3="",0,IF($A4878="",N(K4877),IF(ISNUMBER(SEARCH(Search!$B$3,$A4878&amp;"")),N(K4877)+1,N(K4877))))</f>
        <v>0</v>
      </c>
    </row>
    <row r="4879" customFormat="false" ht="15" hidden="false" customHeight="false" outlineLevel="0" collapsed="false">
      <c r="K4879" s="24" t="n">
        <f aca="false">IF(Search!$B$3="",0,IF($A4879="",N(K4878),IF(ISNUMBER(SEARCH(Search!$B$3,$A4879&amp;"")),N(K4878)+1,N(K4878))))</f>
        <v>0</v>
      </c>
    </row>
    <row r="4880" customFormat="false" ht="15" hidden="false" customHeight="false" outlineLevel="0" collapsed="false">
      <c r="K4880" s="24" t="n">
        <f aca="false">IF(Search!$B$3="",0,IF($A4880="",N(K4879),IF(ISNUMBER(SEARCH(Search!$B$3,$A4880&amp;"")),N(K4879)+1,N(K4879))))</f>
        <v>0</v>
      </c>
    </row>
    <row r="4881" customFormat="false" ht="15" hidden="false" customHeight="false" outlineLevel="0" collapsed="false">
      <c r="K4881" s="24" t="n">
        <f aca="false">IF(Search!$B$3="",0,IF($A4881="",N(K4880),IF(ISNUMBER(SEARCH(Search!$B$3,$A4881&amp;"")),N(K4880)+1,N(K4880))))</f>
        <v>0</v>
      </c>
    </row>
    <row r="4882" customFormat="false" ht="15" hidden="false" customHeight="false" outlineLevel="0" collapsed="false">
      <c r="K4882" s="24" t="n">
        <f aca="false">IF(Search!$B$3="",0,IF($A4882="",N(K4881),IF(ISNUMBER(SEARCH(Search!$B$3,$A4882&amp;"")),N(K4881)+1,N(K4881))))</f>
        <v>0</v>
      </c>
    </row>
    <row r="4883" customFormat="false" ht="15" hidden="false" customHeight="false" outlineLevel="0" collapsed="false">
      <c r="K4883" s="24" t="n">
        <f aca="false">IF(Search!$B$3="",0,IF($A4883="",N(K4882),IF(ISNUMBER(SEARCH(Search!$B$3,$A4883&amp;"")),N(K4882)+1,N(K4882))))</f>
        <v>0</v>
      </c>
    </row>
    <row r="4884" customFormat="false" ht="15" hidden="false" customHeight="false" outlineLevel="0" collapsed="false">
      <c r="K4884" s="24" t="n">
        <f aca="false">IF(Search!$B$3="",0,IF($A4884="",N(K4883),IF(ISNUMBER(SEARCH(Search!$B$3,$A4884&amp;"")),N(K4883)+1,N(K4883))))</f>
        <v>0</v>
      </c>
    </row>
    <row r="4885" customFormat="false" ht="15" hidden="false" customHeight="false" outlineLevel="0" collapsed="false">
      <c r="K4885" s="24" t="n">
        <f aca="false">IF(Search!$B$3="",0,IF($A4885="",N(K4884),IF(ISNUMBER(SEARCH(Search!$B$3,$A4885&amp;"")),N(K4884)+1,N(K4884))))</f>
        <v>0</v>
      </c>
    </row>
    <row r="4886" customFormat="false" ht="15" hidden="false" customHeight="false" outlineLevel="0" collapsed="false">
      <c r="K4886" s="24" t="n">
        <f aca="false">IF(Search!$B$3="",0,IF($A4886="",N(K4885),IF(ISNUMBER(SEARCH(Search!$B$3,$A4886&amp;"")),N(K4885)+1,N(K4885))))</f>
        <v>0</v>
      </c>
    </row>
    <row r="4887" customFormat="false" ht="15" hidden="false" customHeight="false" outlineLevel="0" collapsed="false">
      <c r="K4887" s="24" t="n">
        <f aca="false">IF(Search!$B$3="",0,IF($A4887="",N(K4886),IF(ISNUMBER(SEARCH(Search!$B$3,$A4887&amp;"")),N(K4886)+1,N(K4886))))</f>
        <v>0</v>
      </c>
    </row>
    <row r="4888" customFormat="false" ht="15" hidden="false" customHeight="false" outlineLevel="0" collapsed="false">
      <c r="K4888" s="24" t="n">
        <f aca="false">IF(Search!$B$3="",0,IF($A4888="",N(K4887),IF(ISNUMBER(SEARCH(Search!$B$3,$A4888&amp;"")),N(K4887)+1,N(K4887))))</f>
        <v>0</v>
      </c>
    </row>
    <row r="4889" customFormat="false" ht="15" hidden="false" customHeight="false" outlineLevel="0" collapsed="false">
      <c r="K4889" s="24" t="n">
        <f aca="false">IF(Search!$B$3="",0,IF($A4889="",N(K4888),IF(ISNUMBER(SEARCH(Search!$B$3,$A4889&amp;"")),N(K4888)+1,N(K4888))))</f>
        <v>0</v>
      </c>
    </row>
    <row r="4890" customFormat="false" ht="15" hidden="false" customHeight="false" outlineLevel="0" collapsed="false">
      <c r="K4890" s="24" t="n">
        <f aca="false">IF(Search!$B$3="",0,IF($A4890="",N(K4889),IF(ISNUMBER(SEARCH(Search!$B$3,$A4890&amp;"")),N(K4889)+1,N(K4889))))</f>
        <v>0</v>
      </c>
    </row>
    <row r="4891" customFormat="false" ht="15" hidden="false" customHeight="false" outlineLevel="0" collapsed="false">
      <c r="K4891" s="24" t="n">
        <f aca="false">IF(Search!$B$3="",0,IF($A4891="",N(K4890),IF(ISNUMBER(SEARCH(Search!$B$3,$A4891&amp;"")),N(K4890)+1,N(K4890))))</f>
        <v>0</v>
      </c>
    </row>
    <row r="4892" customFormat="false" ht="15" hidden="false" customHeight="false" outlineLevel="0" collapsed="false">
      <c r="K4892" s="24" t="n">
        <f aca="false">IF(Search!$B$3="",0,IF($A4892="",N(K4891),IF(ISNUMBER(SEARCH(Search!$B$3,$A4892&amp;"")),N(K4891)+1,N(K4891))))</f>
        <v>0</v>
      </c>
    </row>
    <row r="4893" customFormat="false" ht="15" hidden="false" customHeight="false" outlineLevel="0" collapsed="false">
      <c r="K4893" s="24" t="n">
        <f aca="false">IF(Search!$B$3="",0,IF($A4893="",N(K4892),IF(ISNUMBER(SEARCH(Search!$B$3,$A4893&amp;"")),N(K4892)+1,N(K4892))))</f>
        <v>0</v>
      </c>
    </row>
    <row r="4894" customFormat="false" ht="15" hidden="false" customHeight="false" outlineLevel="0" collapsed="false">
      <c r="K4894" s="24" t="n">
        <f aca="false">IF(Search!$B$3="",0,IF($A4894="",N(K4893),IF(ISNUMBER(SEARCH(Search!$B$3,$A4894&amp;"")),N(K4893)+1,N(K4893))))</f>
        <v>0</v>
      </c>
    </row>
    <row r="4895" customFormat="false" ht="15" hidden="false" customHeight="false" outlineLevel="0" collapsed="false">
      <c r="K4895" s="24" t="n">
        <f aca="false">IF(Search!$B$3="",0,IF($A4895="",N(K4894),IF(ISNUMBER(SEARCH(Search!$B$3,$A4895&amp;"")),N(K4894)+1,N(K4894))))</f>
        <v>0</v>
      </c>
    </row>
    <row r="4896" customFormat="false" ht="15" hidden="false" customHeight="false" outlineLevel="0" collapsed="false">
      <c r="K4896" s="24" t="n">
        <f aca="false">IF(Search!$B$3="",0,IF($A4896="",N(K4895),IF(ISNUMBER(SEARCH(Search!$B$3,$A4896&amp;"")),N(K4895)+1,N(K4895))))</f>
        <v>0</v>
      </c>
    </row>
    <row r="4897" customFormat="false" ht="15" hidden="false" customHeight="false" outlineLevel="0" collapsed="false">
      <c r="K4897" s="24" t="n">
        <f aca="false">IF(Search!$B$3="",0,IF($A4897="",N(K4896),IF(ISNUMBER(SEARCH(Search!$B$3,$A4897&amp;"")),N(K4896)+1,N(K4896))))</f>
        <v>0</v>
      </c>
    </row>
    <row r="4898" customFormat="false" ht="15" hidden="false" customHeight="false" outlineLevel="0" collapsed="false">
      <c r="K4898" s="24" t="n">
        <f aca="false">IF(Search!$B$3="",0,IF($A4898="",N(K4897),IF(ISNUMBER(SEARCH(Search!$B$3,$A4898&amp;"")),N(K4897)+1,N(K4897))))</f>
        <v>0</v>
      </c>
    </row>
    <row r="4899" customFormat="false" ht="15" hidden="false" customHeight="false" outlineLevel="0" collapsed="false">
      <c r="K4899" s="24" t="n">
        <f aca="false">IF(Search!$B$3="",0,IF($A4899="",N(K4898),IF(ISNUMBER(SEARCH(Search!$B$3,$A4899&amp;"")),N(K4898)+1,N(K4898))))</f>
        <v>0</v>
      </c>
    </row>
    <row r="4900" customFormat="false" ht="15" hidden="false" customHeight="false" outlineLevel="0" collapsed="false">
      <c r="K4900" s="24" t="n">
        <f aca="false">IF(Search!$B$3="",0,IF($A4900="",N(K4899),IF(ISNUMBER(SEARCH(Search!$B$3,$A4900&amp;"")),N(K4899)+1,N(K4899))))</f>
        <v>0</v>
      </c>
    </row>
    <row r="4901" customFormat="false" ht="15" hidden="false" customHeight="false" outlineLevel="0" collapsed="false">
      <c r="K4901" s="24" t="n">
        <f aca="false">IF(Search!$B$3="",0,IF($A4901="",N(K4900),IF(ISNUMBER(SEARCH(Search!$B$3,$A4901&amp;"")),N(K4900)+1,N(K4900))))</f>
        <v>0</v>
      </c>
    </row>
    <row r="4902" customFormat="false" ht="15" hidden="false" customHeight="false" outlineLevel="0" collapsed="false">
      <c r="K4902" s="24" t="n">
        <f aca="false">IF(Search!$B$3="",0,IF($A4902="",N(K4901),IF(ISNUMBER(SEARCH(Search!$B$3,$A4902&amp;"")),N(K4901)+1,N(K4901))))</f>
        <v>0</v>
      </c>
    </row>
    <row r="4903" customFormat="false" ht="15" hidden="false" customHeight="false" outlineLevel="0" collapsed="false">
      <c r="K4903" s="24" t="n">
        <f aca="false">IF(Search!$B$3="",0,IF($A4903="",N(K4902),IF(ISNUMBER(SEARCH(Search!$B$3,$A4903&amp;"")),N(K4902)+1,N(K4902))))</f>
        <v>0</v>
      </c>
    </row>
    <row r="4904" customFormat="false" ht="15" hidden="false" customHeight="false" outlineLevel="0" collapsed="false">
      <c r="K4904" s="24" t="n">
        <f aca="false">IF(Search!$B$3="",0,IF($A4904="",N(K4903),IF(ISNUMBER(SEARCH(Search!$B$3,$A4904&amp;"")),N(K4903)+1,N(K4903))))</f>
        <v>0</v>
      </c>
    </row>
    <row r="4905" customFormat="false" ht="15" hidden="false" customHeight="false" outlineLevel="0" collapsed="false">
      <c r="K4905" s="24" t="n">
        <f aca="false">IF(Search!$B$3="",0,IF($A4905="",N(K4904),IF(ISNUMBER(SEARCH(Search!$B$3,$A4905&amp;"")),N(K4904)+1,N(K4904))))</f>
        <v>0</v>
      </c>
    </row>
    <row r="4906" customFormat="false" ht="15" hidden="false" customHeight="false" outlineLevel="0" collapsed="false">
      <c r="K4906" s="24" t="n">
        <f aca="false">IF(Search!$B$3="",0,IF($A4906="",N(K4905),IF(ISNUMBER(SEARCH(Search!$B$3,$A4906&amp;"")),N(K4905)+1,N(K4905))))</f>
        <v>0</v>
      </c>
    </row>
    <row r="4907" customFormat="false" ht="15" hidden="false" customHeight="false" outlineLevel="0" collapsed="false">
      <c r="K4907" s="24" t="n">
        <f aca="false">IF(Search!$B$3="",0,IF($A4907="",N(K4906),IF(ISNUMBER(SEARCH(Search!$B$3,$A4907&amp;"")),N(K4906)+1,N(K4906))))</f>
        <v>0</v>
      </c>
    </row>
    <row r="4908" customFormat="false" ht="15" hidden="false" customHeight="false" outlineLevel="0" collapsed="false">
      <c r="K4908" s="24" t="n">
        <f aca="false">IF(Search!$B$3="",0,IF($A4908="",N(K4907),IF(ISNUMBER(SEARCH(Search!$B$3,$A4908&amp;"")),N(K4907)+1,N(K4907))))</f>
        <v>0</v>
      </c>
    </row>
    <row r="4909" customFormat="false" ht="15" hidden="false" customHeight="false" outlineLevel="0" collapsed="false">
      <c r="K4909" s="24" t="n">
        <f aca="false">IF(Search!$B$3="",0,IF($A4909="",N(K4908),IF(ISNUMBER(SEARCH(Search!$B$3,$A4909&amp;"")),N(K4908)+1,N(K4908))))</f>
        <v>0</v>
      </c>
    </row>
    <row r="4910" customFormat="false" ht="15" hidden="false" customHeight="false" outlineLevel="0" collapsed="false">
      <c r="K4910" s="24" t="n">
        <f aca="false">IF(Search!$B$3="",0,IF($A4910="",N(K4909),IF(ISNUMBER(SEARCH(Search!$B$3,$A4910&amp;"")),N(K4909)+1,N(K4909))))</f>
        <v>0</v>
      </c>
    </row>
    <row r="4911" customFormat="false" ht="15" hidden="false" customHeight="false" outlineLevel="0" collapsed="false">
      <c r="K4911" s="24" t="n">
        <f aca="false">IF(Search!$B$3="",0,IF($A4911="",N(K4910),IF(ISNUMBER(SEARCH(Search!$B$3,$A4911&amp;"")),N(K4910)+1,N(K4910))))</f>
        <v>0</v>
      </c>
    </row>
    <row r="4912" customFormat="false" ht="15" hidden="false" customHeight="false" outlineLevel="0" collapsed="false">
      <c r="K4912" s="24" t="n">
        <f aca="false">IF(Search!$B$3="",0,IF($A4912="",N(K4911),IF(ISNUMBER(SEARCH(Search!$B$3,$A4912&amp;"")),N(K4911)+1,N(K4911))))</f>
        <v>0</v>
      </c>
    </row>
    <row r="4913" customFormat="false" ht="15" hidden="false" customHeight="false" outlineLevel="0" collapsed="false">
      <c r="K4913" s="24" t="n">
        <f aca="false">IF(Search!$B$3="",0,IF($A4913="",N(K4912),IF(ISNUMBER(SEARCH(Search!$B$3,$A4913&amp;"")),N(K4912)+1,N(K4912))))</f>
        <v>0</v>
      </c>
    </row>
    <row r="4914" customFormat="false" ht="15" hidden="false" customHeight="false" outlineLevel="0" collapsed="false">
      <c r="K4914" s="24" t="n">
        <f aca="false">IF(Search!$B$3="",0,IF($A4914="",N(K4913),IF(ISNUMBER(SEARCH(Search!$B$3,$A4914&amp;"")),N(K4913)+1,N(K4913))))</f>
        <v>0</v>
      </c>
    </row>
    <row r="4915" customFormat="false" ht="15" hidden="false" customHeight="false" outlineLevel="0" collapsed="false">
      <c r="K4915" s="24" t="n">
        <f aca="false">IF(Search!$B$3="",0,IF($A4915="",N(K4914),IF(ISNUMBER(SEARCH(Search!$B$3,$A4915&amp;"")),N(K4914)+1,N(K4914))))</f>
        <v>0</v>
      </c>
    </row>
    <row r="4916" customFormat="false" ht="15" hidden="false" customHeight="false" outlineLevel="0" collapsed="false">
      <c r="K4916" s="24" t="n">
        <f aca="false">IF(Search!$B$3="",0,IF($A4916="",N(K4915),IF(ISNUMBER(SEARCH(Search!$B$3,$A4916&amp;"")),N(K4915)+1,N(K4915))))</f>
        <v>0</v>
      </c>
    </row>
    <row r="4917" customFormat="false" ht="15" hidden="false" customHeight="false" outlineLevel="0" collapsed="false">
      <c r="K4917" s="24" t="n">
        <f aca="false">IF(Search!$B$3="",0,IF($A4917="",N(K4916),IF(ISNUMBER(SEARCH(Search!$B$3,$A4917&amp;"")),N(K4916)+1,N(K4916))))</f>
        <v>0</v>
      </c>
    </row>
    <row r="4918" customFormat="false" ht="15" hidden="false" customHeight="false" outlineLevel="0" collapsed="false">
      <c r="K4918" s="24" t="n">
        <f aca="false">IF(Search!$B$3="",0,IF($A4918="",N(K4917),IF(ISNUMBER(SEARCH(Search!$B$3,$A4918&amp;"")),N(K4917)+1,N(K4917))))</f>
        <v>0</v>
      </c>
    </row>
    <row r="4919" customFormat="false" ht="15" hidden="false" customHeight="false" outlineLevel="0" collapsed="false">
      <c r="K4919" s="24" t="n">
        <f aca="false">IF(Search!$B$3="",0,IF($A4919="",N(K4918),IF(ISNUMBER(SEARCH(Search!$B$3,$A4919&amp;"")),N(K4918)+1,N(K4918))))</f>
        <v>0</v>
      </c>
    </row>
    <row r="4920" customFormat="false" ht="15" hidden="false" customHeight="false" outlineLevel="0" collapsed="false">
      <c r="K4920" s="24" t="n">
        <f aca="false">IF(Search!$B$3="",0,IF($A4920="",N(K4919),IF(ISNUMBER(SEARCH(Search!$B$3,$A4920&amp;"")),N(K4919)+1,N(K4919))))</f>
        <v>0</v>
      </c>
    </row>
    <row r="4921" customFormat="false" ht="15" hidden="false" customHeight="false" outlineLevel="0" collapsed="false">
      <c r="K4921" s="24" t="n">
        <f aca="false">IF(Search!$B$3="",0,IF($A4921="",N(K4920),IF(ISNUMBER(SEARCH(Search!$B$3,$A4921&amp;"")),N(K4920)+1,N(K4920))))</f>
        <v>0</v>
      </c>
    </row>
    <row r="4922" customFormat="false" ht="15" hidden="false" customHeight="false" outlineLevel="0" collapsed="false">
      <c r="K4922" s="24" t="n">
        <f aca="false">IF(Search!$B$3="",0,IF($A4922="",N(K4921),IF(ISNUMBER(SEARCH(Search!$B$3,$A4922&amp;"")),N(K4921)+1,N(K4921))))</f>
        <v>0</v>
      </c>
    </row>
    <row r="4923" customFormat="false" ht="15" hidden="false" customHeight="false" outlineLevel="0" collapsed="false">
      <c r="K4923" s="24" t="n">
        <f aca="false">IF(Search!$B$3="",0,IF($A4923="",N(K4922),IF(ISNUMBER(SEARCH(Search!$B$3,$A4923&amp;"")),N(K4922)+1,N(K4922))))</f>
        <v>0</v>
      </c>
    </row>
    <row r="4924" customFormat="false" ht="15" hidden="false" customHeight="false" outlineLevel="0" collapsed="false">
      <c r="K4924" s="24" t="n">
        <f aca="false">IF(Search!$B$3="",0,IF($A4924="",N(K4923),IF(ISNUMBER(SEARCH(Search!$B$3,$A4924&amp;"")),N(K4923)+1,N(K4923))))</f>
        <v>0</v>
      </c>
    </row>
    <row r="4925" customFormat="false" ht="15" hidden="false" customHeight="false" outlineLevel="0" collapsed="false">
      <c r="K4925" s="24" t="n">
        <f aca="false">IF(Search!$B$3="",0,IF($A4925="",N(K4924),IF(ISNUMBER(SEARCH(Search!$B$3,$A4925&amp;"")),N(K4924)+1,N(K4924))))</f>
        <v>0</v>
      </c>
    </row>
    <row r="4926" customFormat="false" ht="15" hidden="false" customHeight="false" outlineLevel="0" collapsed="false">
      <c r="K4926" s="24" t="n">
        <f aca="false">IF(Search!$B$3="",0,IF($A4926="",N(K4925),IF(ISNUMBER(SEARCH(Search!$B$3,$A4926&amp;"")),N(K4925)+1,N(K4925))))</f>
        <v>0</v>
      </c>
    </row>
    <row r="4927" customFormat="false" ht="15" hidden="false" customHeight="false" outlineLevel="0" collapsed="false">
      <c r="K4927" s="24" t="n">
        <f aca="false">IF(Search!$B$3="",0,IF($A4927="",N(K4926),IF(ISNUMBER(SEARCH(Search!$B$3,$A4927&amp;"")),N(K4926)+1,N(K4926))))</f>
        <v>0</v>
      </c>
    </row>
    <row r="4928" customFormat="false" ht="15" hidden="false" customHeight="false" outlineLevel="0" collapsed="false">
      <c r="K4928" s="24" t="n">
        <f aca="false">IF(Search!$B$3="",0,IF($A4928="",N(K4927),IF(ISNUMBER(SEARCH(Search!$B$3,$A4928&amp;"")),N(K4927)+1,N(K4927))))</f>
        <v>0</v>
      </c>
    </row>
    <row r="4929" customFormat="false" ht="15" hidden="false" customHeight="false" outlineLevel="0" collapsed="false">
      <c r="K4929" s="24" t="n">
        <f aca="false">IF(Search!$B$3="",0,IF($A4929="",N(K4928),IF(ISNUMBER(SEARCH(Search!$B$3,$A4929&amp;"")),N(K4928)+1,N(K4928))))</f>
        <v>0</v>
      </c>
    </row>
    <row r="4930" customFormat="false" ht="15" hidden="false" customHeight="false" outlineLevel="0" collapsed="false">
      <c r="K4930" s="24" t="n">
        <f aca="false">IF(Search!$B$3="",0,IF($A4930="",N(K4929),IF(ISNUMBER(SEARCH(Search!$B$3,$A4930&amp;"")),N(K4929)+1,N(K4929))))</f>
        <v>0</v>
      </c>
    </row>
    <row r="4931" customFormat="false" ht="15" hidden="false" customHeight="false" outlineLevel="0" collapsed="false">
      <c r="K4931" s="24" t="n">
        <f aca="false">IF(Search!$B$3="",0,IF($A4931="",N(K4930),IF(ISNUMBER(SEARCH(Search!$B$3,$A4931&amp;"")),N(K4930)+1,N(K4930))))</f>
        <v>0</v>
      </c>
    </row>
    <row r="4932" customFormat="false" ht="15" hidden="false" customHeight="false" outlineLevel="0" collapsed="false">
      <c r="K4932" s="24" t="n">
        <f aca="false">IF(Search!$B$3="",0,IF($A4932="",N(K4931),IF(ISNUMBER(SEARCH(Search!$B$3,$A4932&amp;"")),N(K4931)+1,N(K4931))))</f>
        <v>0</v>
      </c>
    </row>
    <row r="4933" customFormat="false" ht="15" hidden="false" customHeight="false" outlineLevel="0" collapsed="false">
      <c r="K4933" s="24" t="n">
        <f aca="false">IF(Search!$B$3="",0,IF($A4933="",N(K4932),IF(ISNUMBER(SEARCH(Search!$B$3,$A4933&amp;"")),N(K4932)+1,N(K4932))))</f>
        <v>0</v>
      </c>
    </row>
    <row r="4934" customFormat="false" ht="15" hidden="false" customHeight="false" outlineLevel="0" collapsed="false">
      <c r="K4934" s="24" t="n">
        <f aca="false">IF(Search!$B$3="",0,IF($A4934="",N(K4933),IF(ISNUMBER(SEARCH(Search!$B$3,$A4934&amp;"")),N(K4933)+1,N(K4933))))</f>
        <v>0</v>
      </c>
    </row>
    <row r="4935" customFormat="false" ht="15" hidden="false" customHeight="false" outlineLevel="0" collapsed="false">
      <c r="K4935" s="24" t="n">
        <f aca="false">IF(Search!$B$3="",0,IF($A4935="",N(K4934),IF(ISNUMBER(SEARCH(Search!$B$3,$A4935&amp;"")),N(K4934)+1,N(K4934))))</f>
        <v>0</v>
      </c>
    </row>
    <row r="4936" customFormat="false" ht="15" hidden="false" customHeight="false" outlineLevel="0" collapsed="false">
      <c r="K4936" s="24" t="n">
        <f aca="false">IF(Search!$B$3="",0,IF($A4936="",N(K4935),IF(ISNUMBER(SEARCH(Search!$B$3,$A4936&amp;"")),N(K4935)+1,N(K4935))))</f>
        <v>0</v>
      </c>
    </row>
    <row r="4937" customFormat="false" ht="15" hidden="false" customHeight="false" outlineLevel="0" collapsed="false">
      <c r="K4937" s="24" t="n">
        <f aca="false">IF(Search!$B$3="",0,IF($A4937="",N(K4936),IF(ISNUMBER(SEARCH(Search!$B$3,$A4937&amp;"")),N(K4936)+1,N(K4936))))</f>
        <v>0</v>
      </c>
    </row>
    <row r="4938" customFormat="false" ht="15" hidden="false" customHeight="false" outlineLevel="0" collapsed="false">
      <c r="K4938" s="24" t="n">
        <f aca="false">IF(Search!$B$3="",0,IF($A4938="",N(K4937),IF(ISNUMBER(SEARCH(Search!$B$3,$A4938&amp;"")),N(K4937)+1,N(K4937))))</f>
        <v>0</v>
      </c>
    </row>
    <row r="4939" customFormat="false" ht="15" hidden="false" customHeight="false" outlineLevel="0" collapsed="false">
      <c r="K4939" s="24" t="n">
        <f aca="false">IF(Search!$B$3="",0,IF($A4939="",N(K4938),IF(ISNUMBER(SEARCH(Search!$B$3,$A4939&amp;"")),N(K4938)+1,N(K4938))))</f>
        <v>0</v>
      </c>
    </row>
    <row r="4940" customFormat="false" ht="15" hidden="false" customHeight="false" outlineLevel="0" collapsed="false">
      <c r="K4940" s="24" t="n">
        <f aca="false">IF(Search!$B$3="",0,IF($A4940="",N(K4939),IF(ISNUMBER(SEARCH(Search!$B$3,$A4940&amp;"")),N(K4939)+1,N(K4939))))</f>
        <v>0</v>
      </c>
    </row>
    <row r="4941" customFormat="false" ht="15" hidden="false" customHeight="false" outlineLevel="0" collapsed="false">
      <c r="K4941" s="24" t="n">
        <f aca="false">IF(Search!$B$3="",0,IF($A4941="",N(K4940),IF(ISNUMBER(SEARCH(Search!$B$3,$A4941&amp;"")),N(K4940)+1,N(K4940))))</f>
        <v>0</v>
      </c>
    </row>
    <row r="4942" customFormat="false" ht="15" hidden="false" customHeight="false" outlineLevel="0" collapsed="false">
      <c r="K4942" s="24" t="n">
        <f aca="false">IF(Search!$B$3="",0,IF($A4942="",N(K4941),IF(ISNUMBER(SEARCH(Search!$B$3,$A4942&amp;"")),N(K4941)+1,N(K4941))))</f>
        <v>0</v>
      </c>
    </row>
    <row r="4943" customFormat="false" ht="15" hidden="false" customHeight="false" outlineLevel="0" collapsed="false">
      <c r="K4943" s="24" t="n">
        <f aca="false">IF(Search!$B$3="",0,IF($A4943="",N(K4942),IF(ISNUMBER(SEARCH(Search!$B$3,$A4943&amp;"")),N(K4942)+1,N(K4942))))</f>
        <v>0</v>
      </c>
    </row>
    <row r="4944" customFormat="false" ht="15" hidden="false" customHeight="false" outlineLevel="0" collapsed="false">
      <c r="K4944" s="24" t="n">
        <f aca="false">IF(Search!$B$3="",0,IF($A4944="",N(K4943),IF(ISNUMBER(SEARCH(Search!$B$3,$A4944&amp;"")),N(K4943)+1,N(K4943))))</f>
        <v>0</v>
      </c>
    </row>
    <row r="4945" customFormat="false" ht="15" hidden="false" customHeight="false" outlineLevel="0" collapsed="false">
      <c r="K4945" s="24" t="n">
        <f aca="false">IF(Search!$B$3="",0,IF($A4945="",N(K4944),IF(ISNUMBER(SEARCH(Search!$B$3,$A4945&amp;"")),N(K4944)+1,N(K4944))))</f>
        <v>0</v>
      </c>
    </row>
    <row r="4946" customFormat="false" ht="15" hidden="false" customHeight="false" outlineLevel="0" collapsed="false">
      <c r="K4946" s="24" t="n">
        <f aca="false">IF(Search!$B$3="",0,IF($A4946="",N(K4945),IF(ISNUMBER(SEARCH(Search!$B$3,$A4946&amp;"")),N(K4945)+1,N(K4945))))</f>
        <v>0</v>
      </c>
    </row>
    <row r="4947" customFormat="false" ht="15" hidden="false" customHeight="false" outlineLevel="0" collapsed="false">
      <c r="K4947" s="24" t="n">
        <f aca="false">IF(Search!$B$3="",0,IF($A4947="",N(K4946),IF(ISNUMBER(SEARCH(Search!$B$3,$A4947&amp;"")),N(K4946)+1,N(K4946))))</f>
        <v>0</v>
      </c>
    </row>
    <row r="4948" customFormat="false" ht="15" hidden="false" customHeight="false" outlineLevel="0" collapsed="false">
      <c r="K4948" s="24" t="n">
        <f aca="false">IF(Search!$B$3="",0,IF($A4948="",N(K4947),IF(ISNUMBER(SEARCH(Search!$B$3,$A4948&amp;"")),N(K4947)+1,N(K4947))))</f>
        <v>0</v>
      </c>
    </row>
    <row r="4949" customFormat="false" ht="15" hidden="false" customHeight="false" outlineLevel="0" collapsed="false">
      <c r="K4949" s="24" t="n">
        <f aca="false">IF(Search!$B$3="",0,IF($A4949="",N(K4948),IF(ISNUMBER(SEARCH(Search!$B$3,$A4949&amp;"")),N(K4948)+1,N(K4948))))</f>
        <v>0</v>
      </c>
    </row>
    <row r="4950" customFormat="false" ht="15" hidden="false" customHeight="false" outlineLevel="0" collapsed="false">
      <c r="K4950" s="24" t="n">
        <f aca="false">IF(Search!$B$3="",0,IF($A4950="",N(K4949),IF(ISNUMBER(SEARCH(Search!$B$3,$A4950&amp;"")),N(K4949)+1,N(K4949))))</f>
        <v>0</v>
      </c>
    </row>
    <row r="4951" customFormat="false" ht="15" hidden="false" customHeight="false" outlineLevel="0" collapsed="false">
      <c r="K4951" s="24" t="n">
        <f aca="false">IF(Search!$B$3="",0,IF($A4951="",N(K4950),IF(ISNUMBER(SEARCH(Search!$B$3,$A4951&amp;"")),N(K4950)+1,N(K4950))))</f>
        <v>0</v>
      </c>
    </row>
    <row r="4952" customFormat="false" ht="15" hidden="false" customHeight="false" outlineLevel="0" collapsed="false">
      <c r="K4952" s="24" t="n">
        <f aca="false">IF(Search!$B$3="",0,IF($A4952="",N(K4951),IF(ISNUMBER(SEARCH(Search!$B$3,$A4952&amp;"")),N(K4951)+1,N(K4951))))</f>
        <v>0</v>
      </c>
    </row>
    <row r="4953" customFormat="false" ht="15" hidden="false" customHeight="false" outlineLevel="0" collapsed="false">
      <c r="K4953" s="24" t="n">
        <f aca="false">IF(Search!$B$3="",0,IF($A4953="",N(K4952),IF(ISNUMBER(SEARCH(Search!$B$3,$A4953&amp;"")),N(K4952)+1,N(K4952))))</f>
        <v>0</v>
      </c>
    </row>
    <row r="4954" customFormat="false" ht="15" hidden="false" customHeight="false" outlineLevel="0" collapsed="false">
      <c r="K4954" s="24" t="n">
        <f aca="false">IF(Search!$B$3="",0,IF($A4954="",N(K4953),IF(ISNUMBER(SEARCH(Search!$B$3,$A4954&amp;"")),N(K4953)+1,N(K4953))))</f>
        <v>0</v>
      </c>
    </row>
    <row r="4955" customFormat="false" ht="15" hidden="false" customHeight="false" outlineLevel="0" collapsed="false">
      <c r="K4955" s="24" t="n">
        <f aca="false">IF(Search!$B$3="",0,IF($A4955="",N(K4954),IF(ISNUMBER(SEARCH(Search!$B$3,$A4955&amp;"")),N(K4954)+1,N(K4954))))</f>
        <v>0</v>
      </c>
    </row>
    <row r="4956" customFormat="false" ht="15" hidden="false" customHeight="false" outlineLevel="0" collapsed="false">
      <c r="K4956" s="24" t="n">
        <f aca="false">IF(Search!$B$3="",0,IF($A4956="",N(K4955),IF(ISNUMBER(SEARCH(Search!$B$3,$A4956&amp;"")),N(K4955)+1,N(K4955))))</f>
        <v>0</v>
      </c>
    </row>
    <row r="4957" customFormat="false" ht="15" hidden="false" customHeight="false" outlineLevel="0" collapsed="false">
      <c r="K4957" s="24" t="n">
        <f aca="false">IF(Search!$B$3="",0,IF($A4957="",N(K4956),IF(ISNUMBER(SEARCH(Search!$B$3,$A4957&amp;"")),N(K4956)+1,N(K4956))))</f>
        <v>0</v>
      </c>
    </row>
    <row r="4958" customFormat="false" ht="15" hidden="false" customHeight="false" outlineLevel="0" collapsed="false">
      <c r="K4958" s="24" t="n">
        <f aca="false">IF(Search!$B$3="",0,IF($A4958="",N(K4957),IF(ISNUMBER(SEARCH(Search!$B$3,$A4958&amp;"")),N(K4957)+1,N(K4957))))</f>
        <v>0</v>
      </c>
    </row>
    <row r="4959" customFormat="false" ht="15" hidden="false" customHeight="false" outlineLevel="0" collapsed="false">
      <c r="K4959" s="24" t="n">
        <f aca="false">IF(Search!$B$3="",0,IF($A4959="",N(K4958),IF(ISNUMBER(SEARCH(Search!$B$3,$A4959&amp;"")),N(K4958)+1,N(K4958))))</f>
        <v>0</v>
      </c>
    </row>
    <row r="4960" customFormat="false" ht="15" hidden="false" customHeight="false" outlineLevel="0" collapsed="false">
      <c r="K4960" s="24" t="n">
        <f aca="false">IF(Search!$B$3="",0,IF($A4960="",N(K4959),IF(ISNUMBER(SEARCH(Search!$B$3,$A4960&amp;"")),N(K4959)+1,N(K4959))))</f>
        <v>0</v>
      </c>
    </row>
    <row r="4961" customFormat="false" ht="15" hidden="false" customHeight="false" outlineLevel="0" collapsed="false">
      <c r="K4961" s="24" t="n">
        <f aca="false">IF(Search!$B$3="",0,IF($A4961="",N(K4960),IF(ISNUMBER(SEARCH(Search!$B$3,$A4961&amp;"")),N(K4960)+1,N(K4960))))</f>
        <v>0</v>
      </c>
    </row>
    <row r="4962" customFormat="false" ht="15" hidden="false" customHeight="false" outlineLevel="0" collapsed="false">
      <c r="K4962" s="24" t="n">
        <f aca="false">IF(Search!$B$3="",0,IF($A4962="",N(K4961),IF(ISNUMBER(SEARCH(Search!$B$3,$A4962&amp;"")),N(K4961)+1,N(K4961))))</f>
        <v>0</v>
      </c>
    </row>
    <row r="4963" customFormat="false" ht="15" hidden="false" customHeight="false" outlineLevel="0" collapsed="false">
      <c r="K4963" s="24" t="n">
        <f aca="false">IF(Search!$B$3="",0,IF($A4963="",N(K4962),IF(ISNUMBER(SEARCH(Search!$B$3,$A4963&amp;"")),N(K4962)+1,N(K4962))))</f>
        <v>0</v>
      </c>
    </row>
    <row r="4964" customFormat="false" ht="15" hidden="false" customHeight="false" outlineLevel="0" collapsed="false">
      <c r="K4964" s="24" t="n">
        <f aca="false">IF(Search!$B$3="",0,IF($A4964="",N(K4963),IF(ISNUMBER(SEARCH(Search!$B$3,$A4964&amp;"")),N(K4963)+1,N(K4963))))</f>
        <v>0</v>
      </c>
    </row>
    <row r="4965" customFormat="false" ht="15" hidden="false" customHeight="false" outlineLevel="0" collapsed="false">
      <c r="K4965" s="24" t="n">
        <f aca="false">IF(Search!$B$3="",0,IF($A4965="",N(K4964),IF(ISNUMBER(SEARCH(Search!$B$3,$A4965&amp;"")),N(K4964)+1,N(K4964))))</f>
        <v>0</v>
      </c>
    </row>
    <row r="4966" customFormat="false" ht="15" hidden="false" customHeight="false" outlineLevel="0" collapsed="false">
      <c r="K4966" s="24" t="n">
        <f aca="false">IF(Search!$B$3="",0,IF($A4966="",N(K4965),IF(ISNUMBER(SEARCH(Search!$B$3,$A4966&amp;"")),N(K4965)+1,N(K4965))))</f>
        <v>0</v>
      </c>
    </row>
    <row r="4967" customFormat="false" ht="15" hidden="false" customHeight="false" outlineLevel="0" collapsed="false">
      <c r="K4967" s="24" t="n">
        <f aca="false">IF(Search!$B$3="",0,IF($A4967="",N(K4966),IF(ISNUMBER(SEARCH(Search!$B$3,$A4967&amp;"")),N(K4966)+1,N(K4966))))</f>
        <v>0</v>
      </c>
    </row>
    <row r="4968" customFormat="false" ht="15" hidden="false" customHeight="false" outlineLevel="0" collapsed="false">
      <c r="K4968" s="24" t="n">
        <f aca="false">IF(Search!$B$3="",0,IF($A4968="",N(K4967),IF(ISNUMBER(SEARCH(Search!$B$3,$A4968&amp;"")),N(K4967)+1,N(K4967))))</f>
        <v>0</v>
      </c>
    </row>
    <row r="4969" customFormat="false" ht="15" hidden="false" customHeight="false" outlineLevel="0" collapsed="false">
      <c r="K4969" s="24" t="n">
        <f aca="false">IF(Search!$B$3="",0,IF($A4969="",N(K4968),IF(ISNUMBER(SEARCH(Search!$B$3,$A4969&amp;"")),N(K4968)+1,N(K4968))))</f>
        <v>0</v>
      </c>
    </row>
    <row r="4970" customFormat="false" ht="15" hidden="false" customHeight="false" outlineLevel="0" collapsed="false">
      <c r="K4970" s="24" t="n">
        <f aca="false">IF(Search!$B$3="",0,IF($A4970="",N(K4969),IF(ISNUMBER(SEARCH(Search!$B$3,$A4970&amp;"")),N(K4969)+1,N(K4969))))</f>
        <v>0</v>
      </c>
    </row>
    <row r="4971" customFormat="false" ht="15" hidden="false" customHeight="false" outlineLevel="0" collapsed="false">
      <c r="K4971" s="24" t="n">
        <f aca="false">IF(Search!$B$3="",0,IF($A4971="",N(K4970),IF(ISNUMBER(SEARCH(Search!$B$3,$A4971&amp;"")),N(K4970)+1,N(K4970))))</f>
        <v>0</v>
      </c>
    </row>
    <row r="4972" customFormat="false" ht="15" hidden="false" customHeight="false" outlineLevel="0" collapsed="false">
      <c r="K4972" s="24" t="n">
        <f aca="false">IF(Search!$B$3="",0,IF($A4972="",N(K4971),IF(ISNUMBER(SEARCH(Search!$B$3,$A4972&amp;"")),N(K4971)+1,N(K4971))))</f>
        <v>0</v>
      </c>
    </row>
    <row r="4973" customFormat="false" ht="15" hidden="false" customHeight="false" outlineLevel="0" collapsed="false">
      <c r="K4973" s="24" t="n">
        <f aca="false">IF(Search!$B$3="",0,IF($A4973="",N(K4972),IF(ISNUMBER(SEARCH(Search!$B$3,$A4973&amp;"")),N(K4972)+1,N(K4972))))</f>
        <v>0</v>
      </c>
    </row>
    <row r="4974" customFormat="false" ht="15" hidden="false" customHeight="false" outlineLevel="0" collapsed="false">
      <c r="K4974" s="24" t="n">
        <f aca="false">IF(Search!$B$3="",0,IF($A4974="",N(K4973),IF(ISNUMBER(SEARCH(Search!$B$3,$A4974&amp;"")),N(K4973)+1,N(K4973))))</f>
        <v>0</v>
      </c>
    </row>
    <row r="4975" customFormat="false" ht="15" hidden="false" customHeight="false" outlineLevel="0" collapsed="false">
      <c r="K4975" s="24" t="n">
        <f aca="false">IF(Search!$B$3="",0,IF($A4975="",N(K4974),IF(ISNUMBER(SEARCH(Search!$B$3,$A4975&amp;"")),N(K4974)+1,N(K4974))))</f>
        <v>0</v>
      </c>
    </row>
    <row r="4976" customFormat="false" ht="15" hidden="false" customHeight="false" outlineLevel="0" collapsed="false">
      <c r="K4976" s="24" t="n">
        <f aca="false">IF(Search!$B$3="",0,IF($A4976="",N(K4975),IF(ISNUMBER(SEARCH(Search!$B$3,$A4976&amp;"")),N(K4975)+1,N(K4975))))</f>
        <v>0</v>
      </c>
    </row>
    <row r="4977" customFormat="false" ht="15" hidden="false" customHeight="false" outlineLevel="0" collapsed="false">
      <c r="K4977" s="24" t="n">
        <f aca="false">IF(Search!$B$3="",0,IF($A4977="",N(K4976),IF(ISNUMBER(SEARCH(Search!$B$3,$A4977&amp;"")),N(K4976)+1,N(K4976))))</f>
        <v>0</v>
      </c>
    </row>
    <row r="4978" customFormat="false" ht="15" hidden="false" customHeight="false" outlineLevel="0" collapsed="false">
      <c r="K4978" s="24" t="n">
        <f aca="false">IF(Search!$B$3="",0,IF($A4978="",N(K4977),IF(ISNUMBER(SEARCH(Search!$B$3,$A4978&amp;"")),N(K4977)+1,N(K4977))))</f>
        <v>0</v>
      </c>
    </row>
    <row r="4979" customFormat="false" ht="15" hidden="false" customHeight="false" outlineLevel="0" collapsed="false">
      <c r="K4979" s="24" t="n">
        <f aca="false">IF(Search!$B$3="",0,IF($A4979="",N(K4978),IF(ISNUMBER(SEARCH(Search!$B$3,$A4979&amp;"")),N(K4978)+1,N(K4978))))</f>
        <v>0</v>
      </c>
    </row>
    <row r="4980" customFormat="false" ht="15" hidden="false" customHeight="false" outlineLevel="0" collapsed="false">
      <c r="K4980" s="24" t="n">
        <f aca="false">IF(Search!$B$3="",0,IF($A4980="",N(K4979),IF(ISNUMBER(SEARCH(Search!$B$3,$A4980&amp;"")),N(K4979)+1,N(K4979))))</f>
        <v>0</v>
      </c>
    </row>
    <row r="4981" customFormat="false" ht="15" hidden="false" customHeight="false" outlineLevel="0" collapsed="false">
      <c r="K4981" s="24" t="n">
        <f aca="false">IF(Search!$B$3="",0,IF($A4981="",N(K4980),IF(ISNUMBER(SEARCH(Search!$B$3,$A4981&amp;"")),N(K4980)+1,N(K4980))))</f>
        <v>0</v>
      </c>
    </row>
    <row r="4982" customFormat="false" ht="15" hidden="false" customHeight="false" outlineLevel="0" collapsed="false">
      <c r="K4982" s="24" t="n">
        <f aca="false">IF(Search!$B$3="",0,IF($A4982="",N(K4981),IF(ISNUMBER(SEARCH(Search!$B$3,$A4982&amp;"")),N(K4981)+1,N(K4981))))</f>
        <v>0</v>
      </c>
    </row>
    <row r="4983" customFormat="false" ht="15" hidden="false" customHeight="false" outlineLevel="0" collapsed="false">
      <c r="K4983" s="24" t="n">
        <f aca="false">IF(Search!$B$3="",0,IF($A4983="",N(K4982),IF(ISNUMBER(SEARCH(Search!$B$3,$A4983&amp;"")),N(K4982)+1,N(K4982))))</f>
        <v>0</v>
      </c>
    </row>
    <row r="4984" customFormat="false" ht="15" hidden="false" customHeight="false" outlineLevel="0" collapsed="false">
      <c r="K4984" s="24" t="n">
        <f aca="false">IF(Search!$B$3="",0,IF($A4984="",N(K4983),IF(ISNUMBER(SEARCH(Search!$B$3,$A4984&amp;"")),N(K4983)+1,N(K4983))))</f>
        <v>0</v>
      </c>
    </row>
    <row r="4985" customFormat="false" ht="15" hidden="false" customHeight="false" outlineLevel="0" collapsed="false">
      <c r="K4985" s="24" t="n">
        <f aca="false">IF(Search!$B$3="",0,IF($A4985="",N(K4984),IF(ISNUMBER(SEARCH(Search!$B$3,$A4985&amp;"")),N(K4984)+1,N(K4984))))</f>
        <v>0</v>
      </c>
    </row>
    <row r="4986" customFormat="false" ht="15" hidden="false" customHeight="false" outlineLevel="0" collapsed="false">
      <c r="K4986" s="24" t="n">
        <f aca="false">IF(Search!$B$3="",0,IF($A4986="",N(K4985),IF(ISNUMBER(SEARCH(Search!$B$3,$A4986&amp;"")),N(K4985)+1,N(K4985))))</f>
        <v>0</v>
      </c>
    </row>
    <row r="4987" customFormat="false" ht="15" hidden="false" customHeight="false" outlineLevel="0" collapsed="false">
      <c r="K4987" s="24" t="n">
        <f aca="false">IF(Search!$B$3="",0,IF($A4987="",N(K4986),IF(ISNUMBER(SEARCH(Search!$B$3,$A4987&amp;"")),N(K4986)+1,N(K4986))))</f>
        <v>0</v>
      </c>
    </row>
    <row r="4988" customFormat="false" ht="15" hidden="false" customHeight="false" outlineLevel="0" collapsed="false">
      <c r="K4988" s="24" t="n">
        <f aca="false">IF(Search!$B$3="",0,IF($A4988="",N(K4987),IF(ISNUMBER(SEARCH(Search!$B$3,$A4988&amp;"")),N(K4987)+1,N(K4987))))</f>
        <v>0</v>
      </c>
    </row>
    <row r="4989" customFormat="false" ht="15" hidden="false" customHeight="false" outlineLevel="0" collapsed="false">
      <c r="K4989" s="24" t="n">
        <f aca="false">IF(Search!$B$3="",0,IF($A4989="",N(K4988),IF(ISNUMBER(SEARCH(Search!$B$3,$A4989&amp;"")),N(K4988)+1,N(K4988))))</f>
        <v>0</v>
      </c>
    </row>
    <row r="4990" customFormat="false" ht="15" hidden="false" customHeight="false" outlineLevel="0" collapsed="false">
      <c r="K4990" s="24" t="n">
        <f aca="false">IF(Search!$B$3="",0,IF($A4990="",N(K4989),IF(ISNUMBER(SEARCH(Search!$B$3,$A4990&amp;"")),N(K4989)+1,N(K4989))))</f>
        <v>0</v>
      </c>
    </row>
    <row r="4991" customFormat="false" ht="15" hidden="false" customHeight="false" outlineLevel="0" collapsed="false">
      <c r="K4991" s="24" t="n">
        <f aca="false">IF(Search!$B$3="",0,IF($A4991="",N(K4990),IF(ISNUMBER(SEARCH(Search!$B$3,$A4991&amp;"")),N(K4990)+1,N(K4990))))</f>
        <v>0</v>
      </c>
    </row>
    <row r="4992" customFormat="false" ht="15" hidden="false" customHeight="false" outlineLevel="0" collapsed="false">
      <c r="K4992" s="24" t="n">
        <f aca="false">IF(Search!$B$3="",0,IF($A4992="",N(K4991),IF(ISNUMBER(SEARCH(Search!$B$3,$A4992&amp;"")),N(K4991)+1,N(K4991))))</f>
        <v>0</v>
      </c>
    </row>
    <row r="4993" customFormat="false" ht="15" hidden="false" customHeight="false" outlineLevel="0" collapsed="false">
      <c r="K4993" s="24" t="n">
        <f aca="false">IF(Search!$B$3="",0,IF($A4993="",N(K4992),IF(ISNUMBER(SEARCH(Search!$B$3,$A4993&amp;"")),N(K4992)+1,N(K4992))))</f>
        <v>0</v>
      </c>
    </row>
    <row r="4994" customFormat="false" ht="15" hidden="false" customHeight="false" outlineLevel="0" collapsed="false">
      <c r="K4994" s="24" t="n">
        <f aca="false">IF(Search!$B$3="",0,IF($A4994="",N(K4993),IF(ISNUMBER(SEARCH(Search!$B$3,$A4994&amp;"")),N(K4993)+1,N(K4993))))</f>
        <v>0</v>
      </c>
    </row>
    <row r="4995" customFormat="false" ht="15" hidden="false" customHeight="false" outlineLevel="0" collapsed="false">
      <c r="K4995" s="24" t="n">
        <f aca="false">IF(Search!$B$3="",0,IF($A4995="",N(K4994),IF(ISNUMBER(SEARCH(Search!$B$3,$A4995&amp;"")),N(K4994)+1,N(K4994))))</f>
        <v>0</v>
      </c>
    </row>
    <row r="4996" customFormat="false" ht="15" hidden="false" customHeight="false" outlineLevel="0" collapsed="false">
      <c r="K4996" s="24" t="n">
        <f aca="false">IF(Search!$B$3="",0,IF($A4996="",N(K4995),IF(ISNUMBER(SEARCH(Search!$B$3,$A4996&amp;"")),N(K4995)+1,N(K4995))))</f>
        <v>0</v>
      </c>
    </row>
    <row r="4997" customFormat="false" ht="15" hidden="false" customHeight="false" outlineLevel="0" collapsed="false">
      <c r="K4997" s="24" t="n">
        <f aca="false">IF(Search!$B$3="",0,IF($A4997="",N(K4996),IF(ISNUMBER(SEARCH(Search!$B$3,$A4997&amp;"")),N(K4996)+1,N(K4996))))</f>
        <v>0</v>
      </c>
    </row>
    <row r="4998" customFormat="false" ht="15" hidden="false" customHeight="false" outlineLevel="0" collapsed="false">
      <c r="K4998" s="24" t="n">
        <f aca="false">IF(Search!$B$3="",0,IF($A4998="",N(K4997),IF(ISNUMBER(SEARCH(Search!$B$3,$A4998&amp;"")),N(K4997)+1,N(K4997))))</f>
        <v>0</v>
      </c>
    </row>
    <row r="4999" customFormat="false" ht="15" hidden="false" customHeight="false" outlineLevel="0" collapsed="false">
      <c r="K4999" s="24" t="n">
        <f aca="false">IF(Search!$B$3="",0,IF($A4999="",N(K4998),IF(ISNUMBER(SEARCH(Search!$B$3,$A4999&amp;"")),N(K4998)+1,N(K4998))))</f>
        <v>0</v>
      </c>
    </row>
    <row r="5000" customFormat="false" ht="15" hidden="false" customHeight="false" outlineLevel="0" collapsed="false">
      <c r="K5000" s="24" t="n">
        <f aca="false">IF(Search!$B$3="",0,IF($A5000="",N(K4999),IF(ISNUMBER(SEARCH(Search!$B$3,$A5000&amp;"")),N(K4999)+1,N(K4999))))</f>
        <v>0</v>
      </c>
    </row>
    <row r="5001" customFormat="false" ht="15" hidden="false" customHeight="false" outlineLevel="0" collapsed="false">
      <c r="K5001" s="24" t="n">
        <f aca="false">IF(Search!$B$3="",0,IF($A5001="",N(K5000),IF(ISNUMBER(SEARCH(Search!$B$3,$A5001&amp;"")),N(K5000)+1,N(K5000))))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4"/>
  </cols>
  <sheetData>
    <row r="2" customFormat="false" ht="16.15" hidden="false" customHeight="false" outlineLevel="0" collapsed="false">
      <c r="B2" s="26" t="s">
        <v>152</v>
      </c>
    </row>
    <row r="3" customFormat="false" ht="15" hidden="false" customHeight="false" outlineLevel="0" collapsed="false">
      <c r="B3" s="27"/>
    </row>
    <row r="4" customFormat="false" ht="15" hidden="false" customHeight="false" outlineLevel="0" collapsed="false">
      <c r="B4" s="27" t="s">
        <v>153</v>
      </c>
    </row>
    <row r="5" customFormat="false" ht="15" hidden="false" customHeight="false" outlineLevel="0" collapsed="false">
      <c r="B5" s="28" t="s">
        <v>154</v>
      </c>
    </row>
    <row r="6" customFormat="false" ht="15" hidden="false" customHeight="false" outlineLevel="0" collapsed="false">
      <c r="B6" s="28" t="s">
        <v>155</v>
      </c>
    </row>
    <row r="7" customFormat="false" ht="15" hidden="false" customHeight="false" outlineLevel="0" collapsed="false">
      <c r="B7" s="27"/>
    </row>
    <row r="8" customFormat="false" ht="15" hidden="false" customHeight="false" outlineLevel="0" collapsed="false">
      <c r="B8" s="27" t="s">
        <v>156</v>
      </c>
    </row>
    <row r="9" customFormat="false" ht="15" hidden="false" customHeight="false" outlineLevel="0" collapsed="false">
      <c r="B9" s="27"/>
    </row>
    <row r="10" customFormat="false" ht="16.15" hidden="false" customHeight="false" outlineLevel="0" collapsed="false">
      <c r="B10" s="26" t="s">
        <v>157</v>
      </c>
    </row>
    <row r="11" customFormat="false" ht="15" hidden="false" customHeight="false" outlineLevel="0" collapsed="false">
      <c r="B11" s="27"/>
    </row>
    <row r="12" customFormat="false" ht="15" hidden="false" customHeight="false" outlineLevel="0" collapsed="false">
      <c r="B12" s="28" t="s">
        <v>158</v>
      </c>
    </row>
    <row r="13" customFormat="false" ht="15" hidden="false" customHeight="false" outlineLevel="0" collapsed="false">
      <c r="B13" s="28" t="s">
        <v>159</v>
      </c>
    </row>
    <row r="14" customFormat="false" ht="15" hidden="false" customHeight="false" outlineLevel="0" collapsed="false">
      <c r="B14" s="28" t="s">
        <v>160</v>
      </c>
    </row>
    <row r="15" customFormat="false" ht="15" hidden="false" customHeight="false" outlineLevel="0" collapsed="false">
      <c r="B15" s="28" t="s">
        <v>161</v>
      </c>
    </row>
    <row r="16" customFormat="false" ht="15" hidden="false" customHeight="false" outlineLevel="0" collapsed="false">
      <c r="B16" s="28" t="s">
        <v>162</v>
      </c>
    </row>
    <row r="17" customFormat="false" ht="15" hidden="false" customHeight="false" outlineLevel="0" collapsed="false">
      <c r="B17" s="27"/>
    </row>
    <row r="18" customFormat="false" ht="31.5" hidden="false" customHeight="true" outlineLevel="0" collapsed="false">
      <c r="B18" s="29" t="s">
        <v>163</v>
      </c>
    </row>
    <row r="19" customFormat="false" ht="15" hidden="false" customHeight="false" outlineLevel="0" collapsed="false">
      <c r="B19" s="27"/>
    </row>
    <row r="20" customFormat="false" ht="16.15" hidden="false" customHeight="false" outlineLevel="0" collapsed="false">
      <c r="B20" s="26" t="s">
        <v>164</v>
      </c>
    </row>
    <row r="21" customFormat="false" ht="15" hidden="false" customHeight="false" outlineLevel="0" collapsed="false">
      <c r="B21" s="27"/>
    </row>
    <row r="22" customFormat="false" ht="15" hidden="false" customHeight="false" outlineLevel="0" collapsed="false">
      <c r="B22" s="28" t="s">
        <v>165</v>
      </c>
    </row>
    <row r="23" customFormat="false" ht="15" hidden="false" customHeight="false" outlineLevel="0" collapsed="false">
      <c r="B23" s="28" t="s">
        <v>166</v>
      </c>
    </row>
    <row r="24" customFormat="false" ht="15" hidden="false" customHeight="false" outlineLevel="0" collapsed="false">
      <c r="B24" s="28" t="s">
        <v>167</v>
      </c>
    </row>
    <row r="25" customFormat="false" ht="15" hidden="false" customHeight="false" outlineLevel="0" collapsed="false">
      <c r="B25" s="28" t="s">
        <v>168</v>
      </c>
    </row>
    <row r="26" customFormat="false" ht="15" hidden="false" customHeight="false" outlineLevel="0" collapsed="false">
      <c r="B26" s="27"/>
    </row>
    <row r="27" customFormat="false" ht="30" hidden="false" customHeight="true" outlineLevel="0" collapsed="false">
      <c r="B27" s="27" t="s">
        <v>169</v>
      </c>
    </row>
    <row r="28" customFormat="false" ht="30" hidden="false" customHeight="true" outlineLevel="0" collapsed="false">
      <c r="B28" s="27" t="s">
        <v>170</v>
      </c>
    </row>
    <row r="29" customFormat="false" ht="15" hidden="false" customHeight="false" outlineLevel="0" collapsed="false">
      <c r="B29" s="27"/>
    </row>
    <row r="30" customFormat="false" ht="16.15" hidden="false" customHeight="false" outlineLevel="0" collapsed="false">
      <c r="B30" s="26" t="s">
        <v>171</v>
      </c>
    </row>
    <row r="31" customFormat="false" ht="15" hidden="false" customHeight="false" outlineLevel="0" collapsed="false">
      <c r="B31" s="27"/>
    </row>
    <row r="32" customFormat="false" ht="15" hidden="false" customHeight="false" outlineLevel="0" collapsed="false">
      <c r="B32" s="27" t="s">
        <v>172</v>
      </c>
    </row>
    <row r="33" customFormat="false" ht="15" hidden="false" customHeight="false" outlineLevel="0" collapsed="false">
      <c r="B33" s="28" t="s">
        <v>173</v>
      </c>
    </row>
    <row r="34" customFormat="false" ht="15" hidden="false" customHeight="false" outlineLevel="0" collapsed="false">
      <c r="B34" s="28" t="s">
        <v>174</v>
      </c>
    </row>
    <row r="35" customFormat="false" ht="15" hidden="false" customHeight="false" outlineLevel="0" collapsed="false">
      <c r="B35" s="28" t="s">
        <v>175</v>
      </c>
    </row>
    <row r="36" customFormat="false" ht="15" hidden="false" customHeight="false" outlineLevel="0" collapsed="false">
      <c r="B36" s="27"/>
    </row>
    <row r="37" customFormat="false" ht="30" hidden="false" customHeight="true" outlineLevel="0" collapsed="false">
      <c r="B37" s="27" t="s">
        <v>176</v>
      </c>
    </row>
    <row r="38" customFormat="false" ht="15" hidden="false" customHeight="false" outlineLevel="0" collapsed="false">
      <c r="B38" s="27"/>
    </row>
    <row r="39" customFormat="false" ht="16.15" hidden="false" customHeight="false" outlineLevel="0" collapsed="false">
      <c r="B39" s="26" t="s">
        <v>177</v>
      </c>
    </row>
    <row r="40" customFormat="false" ht="15" hidden="false" customHeight="false" outlineLevel="0" collapsed="false">
      <c r="B40" s="27"/>
    </row>
    <row r="41" customFormat="false" ht="30" hidden="false" customHeight="true" outlineLevel="0" collapsed="false">
      <c r="B41" s="27" t="s">
        <v>178</v>
      </c>
    </row>
    <row r="42" customFormat="false" ht="15" hidden="false" customHeight="false" outlineLevel="0" collapsed="false">
      <c r="B42" s="27"/>
    </row>
    <row r="43" customFormat="false" ht="15" hidden="false" customHeight="false" outlineLevel="0" collapsed="false">
      <c r="B43" s="27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2026-09-17T11:31:12Z</dcterms:created>
  <dc:creator>openpyxl</dc:creator>
  <dc:description/>
  <dc:language>en-US</dc:language>
  <cp:lastModifiedBy/>
  <dcterms:modified xsi:type="dcterms:W3CDTF">2026-09-17T11:31:12Z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